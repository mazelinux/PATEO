
<file path=[Content_Types].xml><?xml version="1.0" encoding="utf-8"?>
<Types xmlns="http://schemas.openxmlformats.org/package/2006/content-types">
  <Default Extension="bin" ContentType="application/vnd.openxmlformats-officedocument.spreadsheetml.printerSettings"/>
  <Override PartName="/customXml/itemProps2.xml" ContentType="application/vnd.openxmlformats-officedocument.customXmlProperties+xml"/>
  <Override PartName="/customXml/itemProps3.xml" ContentType="application/vnd.openxmlformats-officedocument.customXmlProperties+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gif" ContentType="image/gif"/>
  <Override PartName="/xl/calcChain.xml" ContentType="application/vnd.openxmlformats-officedocument.spreadsheetml.calcChain+xml"/>
  <Override PartName="/xl/sharedStrings.xml" ContentType="application/vnd.openxmlformats-officedocument.spreadsheetml.sharedStrings+xml"/>
  <Override PartName="/customXml/itemProps4.xml" ContentType="application/vnd.openxmlformats-officedocument.customXm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7" rupBuild="4505" codeName="{37E998C4-C9E5-D4B9-71C8-EB1FF731991C}"/>
  <workbookPr codeName="ThisWorkbook" defaultThemeVersion="124226"/>
  <bookViews>
    <workbookView xWindow="0" yWindow="0" windowWidth="21840" windowHeight="13740" tabRatio="819" activeTab="4"/>
  </bookViews>
  <sheets>
    <sheet name="Cover" sheetId="14" r:id="rId1"/>
    <sheet name="Rev. History" sheetId="4" r:id="rId2"/>
    <sheet name="User Instructions" sheetId="5" r:id="rId3"/>
    <sheet name="DSI and MDP registers" sheetId="6" r:id="rId4"/>
    <sheet name="DSI PHY timing setting" sheetId="7" r:id="rId5"/>
    <sheet name="DSI PHY 2.0.0 timing setting" sheetId="9" r:id="rId6"/>
    <sheet name="DSI PHY 3.0.0 DPHY timing" sheetId="15" r:id="rId7"/>
    <sheet name="DSI PHY 4.0.0 DPHY timing" sheetId="16" r:id="rId8"/>
  </sheets>
  <externalReferences>
    <externalReference r:id="rId9"/>
  </externalReferences>
  <definedNames>
    <definedName name="PHY_MAJOR_VERSION" localSheetId="6">'[1]DSI and MDP registers'!$C$25</definedName>
    <definedName name="PHY_MAJOR_VERSION">'DSI and MDP registers'!$C$25</definedName>
    <definedName name="PHY_MODE">'[1]DSI and MDP registers'!$C$28</definedName>
    <definedName name="_xlnm.Print_Area" localSheetId="0">Cover!$A$1:$A$14</definedName>
    <definedName name="_xlnm.Print_Area" localSheetId="3">'DSI and MDP registers'!$B$1:$J$115</definedName>
    <definedName name="_xlnm.Print_Area" localSheetId="5">'DSI PHY 2.0.0 timing setting'!$A$1:$K$70</definedName>
    <definedName name="_xlnm.Print_Area" localSheetId="6">'DSI PHY 3.0.0 DPHY timing'!$A$1:$J$65</definedName>
    <definedName name="_xlnm.Print_Area" localSheetId="4">'DSI PHY timing setting'!$A$1:$K$52</definedName>
    <definedName name="_xlnm.Print_Area" localSheetId="1">'Rev. History'!$C$3:$E$22</definedName>
    <definedName name="_xlnm.Print_Area" localSheetId="2">'User Instructions'!$A$1:$AC$64</definedName>
    <definedName name="strQCTDocumentName" localSheetId="6">#REF!</definedName>
    <definedName name="strQCTDocumentName">#REF!</definedName>
    <definedName name="vQCTAddress" localSheetId="6">#REF!</definedName>
    <definedName name="vQCTAddress">#REF!</definedName>
    <definedName name="vQCTCopyright" localSheetId="6">#REF!</definedName>
    <definedName name="vQCTCopyright">#REF!</definedName>
    <definedName name="vQCTCopyrightHolder" localSheetId="6">#REF!</definedName>
    <definedName name="vQCTCopyrightHolder">#REF!</definedName>
    <definedName name="vQCTDistribution1" localSheetId="6">#REF!</definedName>
    <definedName name="vQCTDistribution1">#REF!</definedName>
    <definedName name="vQCTDistribution2" localSheetId="6">#REF!</definedName>
    <definedName name="vQCTDistribution2">#REF!</definedName>
    <definedName name="vQCTDistribution3" localSheetId="6">#REF!</definedName>
    <definedName name="vQCTDistribution3">#REF!</definedName>
    <definedName name="vQCTDistribution4" localSheetId="6">#REF!</definedName>
    <definedName name="vQCTDistribution4">#REF!</definedName>
    <definedName name="vQCTDocumentDate" localSheetId="6">#REF!</definedName>
    <definedName name="vQCTDocumentDate">#REF!</definedName>
    <definedName name="vQCTDocumentDCN" localSheetId="6">#REF!</definedName>
    <definedName name="vQCTDocumentDCN">#REF!</definedName>
    <definedName name="vQCTDocumentName" localSheetId="6">#REF!</definedName>
    <definedName name="vQCTDocumentName">#REF!</definedName>
    <definedName name="vQCTDocumentType" localSheetId="6">#REF!</definedName>
    <definedName name="vQCTDocumentType">#REF!</definedName>
    <definedName name="vQCTLogoHolder" localSheetId="6">#REF!</definedName>
    <definedName name="vQCTLogoHolder">#REF!</definedName>
    <definedName name="vQCTStmtTitle" localSheetId="6">#REF!</definedName>
    <definedName name="vQCTStmtTitle">#REF!</definedName>
    <definedName name="vQCTSupportInfo" localSheetId="6">#REF!</definedName>
    <definedName name="vQCTSupportInfo">#REF!</definedName>
    <definedName name="vQTICopyrightHolder" localSheetId="6">#REF!</definedName>
    <definedName name="vQTICopyrightHolder">#REF!</definedName>
    <definedName name="vQTIDistribution0.5" localSheetId="6">#REF!</definedName>
    <definedName name="vQTIDistribution0.5">#REF!</definedName>
    <definedName name="vQTIEntityName" localSheetId="6">#REF!</definedName>
    <definedName name="vQTIEntityName">#REF!</definedName>
    <definedName name="vRevisionDate">'Rev. History'!$D$4</definedName>
  </definedNames>
  <calcPr calcId="124519"/>
</workbook>
</file>

<file path=xl/calcChain.xml><?xml version="1.0" encoding="utf-8"?>
<calcChain xmlns="http://schemas.openxmlformats.org/spreadsheetml/2006/main">
  <c r="G11" i="7"/>
  <c r="G10"/>
  <c r="C25" i="6"/>
  <c r="B77" s="1"/>
  <c r="B56" i="16" l="1"/>
  <c r="B55"/>
  <c r="B54"/>
  <c r="B51"/>
  <c r="B48" l="1"/>
  <c r="B47"/>
  <c r="B4"/>
  <c r="B6" s="1"/>
  <c r="B75" i="6" l="1"/>
  <c r="B76"/>
  <c r="C94"/>
  <c r="C91"/>
  <c r="B89"/>
  <c r="B85"/>
  <c r="B81"/>
  <c r="B90"/>
  <c r="B82"/>
  <c r="B94"/>
  <c r="B91"/>
  <c r="B88"/>
  <c r="B84"/>
  <c r="C80"/>
  <c r="B80"/>
  <c r="B86"/>
  <c r="B93"/>
  <c r="C90"/>
  <c r="B87"/>
  <c r="B83"/>
  <c r="C74"/>
  <c r="B92"/>
  <c r="B74"/>
  <c r="C22" i="16"/>
  <c r="C21"/>
  <c r="C20"/>
  <c r="B22"/>
  <c r="F22" s="1"/>
  <c r="B21"/>
  <c r="F21" s="1"/>
  <c r="B20"/>
  <c r="F20" s="1"/>
  <c r="H20"/>
  <c r="H22"/>
  <c r="H21"/>
  <c r="C7" i="6" l="1"/>
  <c r="B95" l="1"/>
  <c r="C96"/>
  <c r="C95"/>
  <c r="B96"/>
  <c r="B4" i="15"/>
  <c r="B47" l="1"/>
  <c r="B46"/>
  <c r="H22"/>
  <c r="B6" l="1"/>
  <c r="H20"/>
  <c r="H21"/>
  <c r="C22" l="1"/>
  <c r="C21"/>
  <c r="C20"/>
  <c r="B22"/>
  <c r="F22" s="1"/>
  <c r="B21"/>
  <c r="F21" s="1"/>
  <c r="B20"/>
  <c r="F20" s="1"/>
  <c r="A54" i="9" l="1"/>
  <c r="A52" l="1"/>
  <c r="B73" i="6" l="1"/>
  <c r="B49" i="9" l="1"/>
  <c r="B50"/>
  <c r="B4"/>
  <c r="H22" s="1"/>
  <c r="B6" l="1"/>
  <c r="H20"/>
  <c r="H21"/>
  <c r="B72" i="6"/>
  <c r="C22" i="9" l="1"/>
  <c r="C21"/>
  <c r="C20"/>
  <c r="B22"/>
  <c r="F22" s="1"/>
  <c r="B21"/>
  <c r="F21" s="1"/>
  <c r="B20"/>
  <c r="F20" s="1"/>
  <c r="C6" i="6" l="1"/>
  <c r="B39" i="7" l="1"/>
  <c r="B38"/>
  <c r="B4"/>
  <c r="H20" s="1"/>
  <c r="C13" i="6"/>
  <c r="C18"/>
  <c r="C34"/>
  <c r="C35"/>
  <c r="C45"/>
  <c r="C46"/>
  <c r="C47"/>
  <c r="C52"/>
  <c r="C68" s="1"/>
  <c r="C56"/>
  <c r="C57"/>
  <c r="C58"/>
  <c r="C59"/>
  <c r="C60"/>
  <c r="C61"/>
  <c r="C62"/>
  <c r="C69"/>
  <c r="C70"/>
  <c r="C66" l="1"/>
  <c r="C67"/>
  <c r="C36"/>
  <c r="C106" s="1"/>
  <c r="C65"/>
  <c r="B6" i="7"/>
  <c r="C18" s="1"/>
  <c r="C41" i="6"/>
  <c r="C99"/>
  <c r="B3" i="16" s="1"/>
  <c r="C40" i="6"/>
  <c r="H18" i="7"/>
  <c r="H19"/>
  <c r="C44" i="6"/>
  <c r="C43"/>
  <c r="C39"/>
  <c r="C42"/>
  <c r="C32" i="16" l="1"/>
  <c r="B5"/>
  <c r="B33" s="1"/>
  <c r="F11"/>
  <c r="G11" s="1"/>
  <c r="F18"/>
  <c r="G18" s="1"/>
  <c r="B3" i="15"/>
  <c r="B3" i="9"/>
  <c r="C19" i="7"/>
  <c r="C20"/>
  <c r="B19"/>
  <c r="F19" s="1"/>
  <c r="B18"/>
  <c r="F18" s="1"/>
  <c r="B20"/>
  <c r="F20" s="1"/>
  <c r="C100" i="6"/>
  <c r="B3" i="7"/>
  <c r="C32" i="15" l="1"/>
  <c r="B32" i="16"/>
  <c r="D32" s="1"/>
  <c r="C34" i="9"/>
  <c r="E32" i="16"/>
  <c r="C101" i="6"/>
  <c r="C102" s="1"/>
  <c r="C109" s="1"/>
  <c r="F28" i="9"/>
  <c r="G28" s="1"/>
  <c r="B52" s="1"/>
  <c r="B26" i="16"/>
  <c r="C24"/>
  <c r="C13" s="1"/>
  <c r="E13" s="1"/>
  <c r="D19"/>
  <c r="F19" s="1"/>
  <c r="G19" s="1"/>
  <c r="B16"/>
  <c r="D16" s="1"/>
  <c r="B25"/>
  <c r="E10"/>
  <c r="D13"/>
  <c r="C23"/>
  <c r="C16" s="1"/>
  <c r="E16" s="1"/>
  <c r="B14"/>
  <c r="D14" s="1"/>
  <c r="C14"/>
  <c r="E14" s="1"/>
  <c r="D10"/>
  <c r="F27"/>
  <c r="G27" s="1"/>
  <c r="F17"/>
  <c r="G17" s="1"/>
  <c r="B38"/>
  <c r="F29" i="9"/>
  <c r="G29" s="1"/>
  <c r="B54" s="1"/>
  <c r="B5"/>
  <c r="B35" s="1"/>
  <c r="B5" i="15"/>
  <c r="B33" s="1"/>
  <c r="F51" i="7"/>
  <c r="B5"/>
  <c r="F49"/>
  <c r="F16" i="16" l="1"/>
  <c r="G16" s="1"/>
  <c r="D34" s="1"/>
  <c r="G34" s="1"/>
  <c r="C110" i="6"/>
  <c r="H17" i="16"/>
  <c r="I17" s="1"/>
  <c r="B46"/>
  <c r="C107" i="6"/>
  <c r="B59" i="16" s="1"/>
  <c r="C77" i="6" s="1"/>
  <c r="C108"/>
  <c r="E32" i="15"/>
  <c r="B34" i="9"/>
  <c r="D34" s="1"/>
  <c r="E34"/>
  <c r="B32" i="15"/>
  <c r="D32" s="1"/>
  <c r="D10" i="9"/>
  <c r="F32" i="16"/>
  <c r="G32" s="1"/>
  <c r="F14"/>
  <c r="G14" s="1"/>
  <c r="H14" s="1"/>
  <c r="H27"/>
  <c r="I27" s="1"/>
  <c r="H19"/>
  <c r="I19" s="1"/>
  <c r="B42"/>
  <c r="F10"/>
  <c r="G10" s="1"/>
  <c r="F13"/>
  <c r="G13" s="1"/>
  <c r="D25" s="1"/>
  <c r="C23" i="9"/>
  <c r="C16" s="1"/>
  <c r="E16" s="1"/>
  <c r="F27"/>
  <c r="G27" s="1"/>
  <c r="B43" s="1"/>
  <c r="C24"/>
  <c r="C13" s="1"/>
  <c r="E13" s="1"/>
  <c r="B25"/>
  <c r="D25" s="1"/>
  <c r="C14"/>
  <c r="E14" s="1"/>
  <c r="F17"/>
  <c r="G17" s="1"/>
  <c r="B48" s="1"/>
  <c r="B16"/>
  <c r="D16" s="1"/>
  <c r="B14"/>
  <c r="D14" s="1"/>
  <c r="D13"/>
  <c r="E10"/>
  <c r="B26"/>
  <c r="D19"/>
  <c r="F19" s="1"/>
  <c r="G19" s="1"/>
  <c r="B39" s="1"/>
  <c r="F18" i="15"/>
  <c r="G18" s="1"/>
  <c r="G11"/>
  <c r="D19"/>
  <c r="F19" s="1"/>
  <c r="G19" s="1"/>
  <c r="C23"/>
  <c r="C16" s="1"/>
  <c r="E16" s="1"/>
  <c r="C14"/>
  <c r="E14" s="1"/>
  <c r="B16"/>
  <c r="D16" s="1"/>
  <c r="B25"/>
  <c r="D25" s="1"/>
  <c r="F25" s="1"/>
  <c r="G25" s="1"/>
  <c r="F27"/>
  <c r="G27" s="1"/>
  <c r="B45" s="1"/>
  <c r="D10"/>
  <c r="D13"/>
  <c r="B26"/>
  <c r="B14"/>
  <c r="C24"/>
  <c r="C13" s="1"/>
  <c r="E13" s="1"/>
  <c r="E10"/>
  <c r="G18" i="9"/>
  <c r="B23" i="7"/>
  <c r="F16"/>
  <c r="B24"/>
  <c r="B13"/>
  <c r="D13" s="1"/>
  <c r="C22"/>
  <c r="C12" s="1"/>
  <c r="E12" s="1"/>
  <c r="C13"/>
  <c r="E13" s="1"/>
  <c r="D17"/>
  <c r="F17" s="1"/>
  <c r="G17" s="1"/>
  <c r="B33" s="1"/>
  <c r="C21"/>
  <c r="C15" s="1"/>
  <c r="E15" s="1"/>
  <c r="D12"/>
  <c r="D10"/>
  <c r="B15"/>
  <c r="D15" s="1"/>
  <c r="E10"/>
  <c r="B45" i="16" l="1"/>
  <c r="H16"/>
  <c r="C85" i="6"/>
  <c r="D14" i="15"/>
  <c r="F14" s="1"/>
  <c r="G14" s="1"/>
  <c r="H14" s="1"/>
  <c r="F25" i="16"/>
  <c r="G25" s="1"/>
  <c r="H25" s="1"/>
  <c r="B61" i="9"/>
  <c r="B54" i="15"/>
  <c r="B53"/>
  <c r="H34" i="16"/>
  <c r="F34" i="9"/>
  <c r="G34" s="1"/>
  <c r="F32" i="15"/>
  <c r="G32" s="1"/>
  <c r="H32" s="1"/>
  <c r="I32" s="1"/>
  <c r="H32" i="16"/>
  <c r="I32" s="1"/>
  <c r="B57"/>
  <c r="C75" i="6" s="1"/>
  <c r="H19" i="9"/>
  <c r="I19" s="1"/>
  <c r="F16"/>
  <c r="G16" s="1"/>
  <c r="H16" s="1"/>
  <c r="I16" s="1"/>
  <c r="B44" i="16"/>
  <c r="B40"/>
  <c r="H10"/>
  <c r="I14"/>
  <c r="B15"/>
  <c r="D15" s="1"/>
  <c r="F15" s="1"/>
  <c r="G15" s="1"/>
  <c r="H23"/>
  <c r="I16"/>
  <c r="B41"/>
  <c r="H13"/>
  <c r="B44" i="9"/>
  <c r="F13"/>
  <c r="G13" s="1"/>
  <c r="H13" s="1"/>
  <c r="I13" s="1"/>
  <c r="F14"/>
  <c r="G14" s="1"/>
  <c r="H14" s="1"/>
  <c r="H17"/>
  <c r="I17" s="1"/>
  <c r="F13" i="15"/>
  <c r="G13" s="1"/>
  <c r="B40" s="1"/>
  <c r="F10"/>
  <c r="G10" s="1"/>
  <c r="B39" s="1"/>
  <c r="F17"/>
  <c r="G17" s="1"/>
  <c r="H17" s="1"/>
  <c r="I17" s="1"/>
  <c r="B41"/>
  <c r="H19"/>
  <c r="I19" s="1"/>
  <c r="F16"/>
  <c r="G16" s="1"/>
  <c r="B37"/>
  <c r="H27"/>
  <c r="I27" s="1"/>
  <c r="G11" i="9"/>
  <c r="F10"/>
  <c r="G10" s="1"/>
  <c r="B53"/>
  <c r="F10" i="7"/>
  <c r="F25" i="9"/>
  <c r="G25" s="1"/>
  <c r="F13" i="7"/>
  <c r="G13" s="1"/>
  <c r="B35" s="1"/>
  <c r="H17"/>
  <c r="D23" s="1"/>
  <c r="F23" s="1"/>
  <c r="G23" s="1"/>
  <c r="H23" s="1"/>
  <c r="F15"/>
  <c r="G15" s="1"/>
  <c r="G16"/>
  <c r="F12"/>
  <c r="G12" s="1"/>
  <c r="C87" i="6" l="1"/>
  <c r="H25" i="9"/>
  <c r="B50" i="16"/>
  <c r="C93" i="6" s="1"/>
  <c r="B60" i="9"/>
  <c r="H24"/>
  <c r="B52" i="15"/>
  <c r="H34" i="9"/>
  <c r="I34" s="1"/>
  <c r="B59"/>
  <c r="B47"/>
  <c r="H23"/>
  <c r="B42"/>
  <c r="I10" i="16"/>
  <c r="B12"/>
  <c r="D12" s="1"/>
  <c r="E12" s="1"/>
  <c r="F12" s="1"/>
  <c r="G12" s="1"/>
  <c r="D26" s="1"/>
  <c r="I13"/>
  <c r="H24"/>
  <c r="B43"/>
  <c r="H15"/>
  <c r="B43" i="15"/>
  <c r="H13"/>
  <c r="H24" s="1"/>
  <c r="H10"/>
  <c r="H25"/>
  <c r="H16"/>
  <c r="B44"/>
  <c r="I14"/>
  <c r="B15"/>
  <c r="D15" s="1"/>
  <c r="F15" s="1"/>
  <c r="G15" s="1"/>
  <c r="H10" i="9"/>
  <c r="B51"/>
  <c r="H27"/>
  <c r="I27" s="1"/>
  <c r="B15"/>
  <c r="D15" s="1"/>
  <c r="I14"/>
  <c r="B46"/>
  <c r="B41"/>
  <c r="H13" i="7"/>
  <c r="B14" s="1"/>
  <c r="D14" s="1"/>
  <c r="F14" s="1"/>
  <c r="G14" s="1"/>
  <c r="H14" s="1"/>
  <c r="B36"/>
  <c r="C88" i="6" s="1"/>
  <c r="H15" i="7"/>
  <c r="H21" s="1"/>
  <c r="B30"/>
  <c r="H12"/>
  <c r="H22" s="1"/>
  <c r="B31"/>
  <c r="C83" i="6" s="1"/>
  <c r="B37" i="7"/>
  <c r="C89" i="6" s="1"/>
  <c r="H16" i="7"/>
  <c r="I10" i="15" l="1"/>
  <c r="I15" i="16"/>
  <c r="B12" i="15"/>
  <c r="D12" s="1"/>
  <c r="E12" s="1"/>
  <c r="F12" s="1"/>
  <c r="G12" s="1"/>
  <c r="B39" i="16"/>
  <c r="C82" i="6" s="1"/>
  <c r="H12" i="16"/>
  <c r="I13" i="15"/>
  <c r="H15"/>
  <c r="B42"/>
  <c r="H23"/>
  <c r="I16"/>
  <c r="H10" i="7"/>
  <c r="F15" i="9"/>
  <c r="G15" s="1"/>
  <c r="H15" s="1"/>
  <c r="I10"/>
  <c r="B12"/>
  <c r="B34" i="7"/>
  <c r="C86" i="6" s="1"/>
  <c r="D35" i="9" l="1"/>
  <c r="F26" i="16"/>
  <c r="B11" i="7"/>
  <c r="D11" s="1"/>
  <c r="E11" s="1"/>
  <c r="I15" i="15"/>
  <c r="D33" s="1"/>
  <c r="I12" i="16"/>
  <c r="H12" i="15"/>
  <c r="B38"/>
  <c r="I15" i="9"/>
  <c r="B45"/>
  <c r="D12"/>
  <c r="E12" s="1"/>
  <c r="H11" i="7" l="1"/>
  <c r="D24" s="1"/>
  <c r="B43" s="1"/>
  <c r="C73" i="6" s="1"/>
  <c r="B32" i="7"/>
  <c r="C84" i="6" s="1"/>
  <c r="G4" i="7"/>
  <c r="D26" i="15"/>
  <c r="B51" s="1"/>
  <c r="B58" i="16"/>
  <c r="C76" i="6" s="1"/>
  <c r="G26" i="16"/>
  <c r="H26" s="1"/>
  <c r="H28" s="1"/>
  <c r="C33" s="1"/>
  <c r="I12" i="15"/>
  <c r="F12" i="9"/>
  <c r="G12" s="1"/>
  <c r="E33" i="16"/>
  <c r="F24" i="7" l="1"/>
  <c r="G24" s="1"/>
  <c r="B42" s="1"/>
  <c r="C72" i="6" s="1"/>
  <c r="B29" i="7"/>
  <c r="C81" i="6" s="1"/>
  <c r="D33" i="16"/>
  <c r="F33" s="1"/>
  <c r="G33" s="1"/>
  <c r="H33" s="1"/>
  <c r="I33" s="1"/>
  <c r="F26" i="15"/>
  <c r="G26" s="1"/>
  <c r="B50" s="1"/>
  <c r="B49" i="16"/>
  <c r="C92" i="6" s="1"/>
  <c r="H12" i="9"/>
  <c r="B40"/>
  <c r="H24" i="7" l="1"/>
  <c r="H25" s="1"/>
  <c r="H26" i="15"/>
  <c r="H28" s="1"/>
  <c r="D26" i="9"/>
  <c r="F26" s="1"/>
  <c r="G26" s="1"/>
  <c r="B57" s="1"/>
  <c r="I12"/>
  <c r="C33" i="15" l="1"/>
  <c r="E33" s="1"/>
  <c r="F33" s="1"/>
  <c r="G33" s="1"/>
  <c r="H33" s="1"/>
  <c r="I33" s="1"/>
  <c r="B58" i="9"/>
  <c r="H26"/>
  <c r="H30" s="1"/>
  <c r="C35" s="1"/>
  <c r="E35" s="1"/>
  <c r="F35" s="1"/>
  <c r="G35" s="1"/>
  <c r="H35" s="1"/>
  <c r="C111" i="6" l="1"/>
  <c r="C112" s="1"/>
  <c r="E15" s="1"/>
  <c r="I35" i="9"/>
</calcChain>
</file>

<file path=xl/sharedStrings.xml><?xml version="1.0" encoding="utf-8"?>
<sst xmlns="http://schemas.openxmlformats.org/spreadsheetml/2006/main" count="572" uniqueCount="319">
  <si>
    <t xml:space="preserve">HS_START      </t>
  </si>
  <si>
    <t xml:space="preserve">HS_END        </t>
  </si>
  <si>
    <t xml:space="preserve">VS_START      </t>
  </si>
  <si>
    <t xml:space="preserve">VS_END        </t>
  </si>
  <si>
    <t xml:space="preserve">VS_VPOS_START </t>
  </si>
  <si>
    <t xml:space="preserve">VS_VPOS_END   </t>
  </si>
  <si>
    <t xml:space="preserve">VIDEO_H_TOTAL </t>
  </si>
  <si>
    <t xml:space="preserve">VIDEO_V_TOTAL </t>
  </si>
  <si>
    <t>ACTIVE_H_START</t>
  </si>
  <si>
    <t xml:space="preserve">ACTIVE_H_END  </t>
  </si>
  <si>
    <t>ACTIVE_V_START</t>
  </si>
  <si>
    <t xml:space="preserve">ACTIVE_V_END  </t>
  </si>
  <si>
    <t>pixels</t>
  </si>
  <si>
    <t>(including reqd. border fill)</t>
  </si>
  <si>
    <t>lines</t>
  </si>
  <si>
    <t>MHz</t>
  </si>
  <si>
    <t>(active image region)</t>
  </si>
  <si>
    <t>Hsync period</t>
  </si>
  <si>
    <t>dclks/line</t>
  </si>
  <si>
    <t>Vsync period</t>
  </si>
  <si>
    <t>lines/frame</t>
  </si>
  <si>
    <t>Vsync Pulse Width</t>
  </si>
  <si>
    <t>Vert. Back Porch</t>
  </si>
  <si>
    <t>Vert. Front Porch</t>
  </si>
  <si>
    <t>Register Name</t>
  </si>
  <si>
    <t>Data (in hex)</t>
  </si>
  <si>
    <t>Active region auto centered within display region</t>
  </si>
  <si>
    <t>Clocks</t>
  </si>
  <si>
    <t>bytes/pixel</t>
  </si>
  <si>
    <t>lanes</t>
  </si>
  <si>
    <t>HACT time</t>
  </si>
  <si>
    <t>HFP time</t>
  </si>
  <si>
    <t>T_CLK_PREPARE</t>
  </si>
  <si>
    <t>escclk</t>
  </si>
  <si>
    <t>T_CLK_ZERO</t>
  </si>
  <si>
    <t>T_CLK_TRAIL</t>
  </si>
  <si>
    <t>UI</t>
  </si>
  <si>
    <t>ns</t>
  </si>
  <si>
    <t>T_HS_PREPARE</t>
  </si>
  <si>
    <t>T_HS_ZERO</t>
  </si>
  <si>
    <t>T_HS_TRAIL</t>
  </si>
  <si>
    <t>T_HS_RQST</t>
  </si>
  <si>
    <t>T_HS_EXIT</t>
  </si>
  <si>
    <t>T_TA_GO</t>
  </si>
  <si>
    <t>T_TA_GET</t>
  </si>
  <si>
    <t>T_TA_SURE</t>
  </si>
  <si>
    <t>Tlpx</t>
  </si>
  <si>
    <t>T_CLK_POST</t>
  </si>
  <si>
    <t>T_CLK_PRE</t>
  </si>
  <si>
    <t>(hardwired to PHY inputs)</t>
  </si>
  <si>
    <t>min (ns)</t>
  </si>
  <si>
    <t>max (ns)</t>
  </si>
  <si>
    <t>MDP REGISTER PROGRAMMING</t>
  </si>
  <si>
    <t>MDP_DSI_VIDEO_HSYNC_CTL</t>
  </si>
  <si>
    <t>MDP_DSI_VIDEO_VSYNC_PERIOD</t>
  </si>
  <si>
    <t>MDP_DSI_VIDEO_VSYNC_PULSE_WIDTH</t>
  </si>
  <si>
    <t>MDP_DSI_VIDEO_DISPLAY_HCTL</t>
  </si>
  <si>
    <t>MDP_DSI_VIDEO_DISPLAY_V_START</t>
  </si>
  <si>
    <t>MDP_DSI_VIDEO_DISPLAY_V_END</t>
  </si>
  <si>
    <t>MDP_DSI_VIDEO_ACTIVE_HCTL</t>
  </si>
  <si>
    <t>MDP_DSI_VIDEO_ACTIVE_V_START</t>
  </si>
  <si>
    <t>MDP_DSI_VIDEO_ACTIVE_V_END</t>
  </si>
  <si>
    <t>pclks</t>
  </si>
  <si>
    <t>min</t>
  </si>
  <si>
    <t>max</t>
  </si>
  <si>
    <t>Dot clock overhead (blanking %)</t>
  </si>
  <si>
    <t>HBP + hsync time</t>
  </si>
  <si>
    <t>frame per sec</t>
  </si>
  <si>
    <t>Blanking %</t>
  </si>
  <si>
    <t>%</t>
  </si>
  <si>
    <t>Miscellaneous calculation</t>
  </si>
  <si>
    <t xml:space="preserve">DSI_VIDEO_MODE_ACTIVE_H </t>
  </si>
  <si>
    <t>DSI_VIDEO_MODE_ACTIVE_V</t>
  </si>
  <si>
    <t>DSI_VIDEO_MODE_TOTAL</t>
  </si>
  <si>
    <t>DSI_VIDEO_MODE_VSYNC</t>
  </si>
  <si>
    <t>DSI_VIDEO_MODE_VSYNC_VPOS</t>
  </si>
  <si>
    <t>DSI VIDEO MODE REGISTER SETTINGS</t>
  </si>
  <si>
    <t>Recommended register settings (dec)</t>
  </si>
  <si>
    <t>To run macro that verifies the video parameters with respect to the DSI video programming rules, press Ctrl-L</t>
  </si>
  <si>
    <t>2. DSI PHY registers</t>
  </si>
  <si>
    <t>1. PHY Timing parameters calculated from bitclk calculated in "dsi and mdp registers" and escclk source set in "dsi and mdp registers"</t>
  </si>
  <si>
    <t>3. DSI Registers (address)</t>
  </si>
  <si>
    <t>DSI PHY TIMING REGISTER SETTINGS</t>
  </si>
  <si>
    <t>DSI_VIDEO_MODE_HSYNC</t>
  </si>
  <si>
    <t>bitclk (desired frequency)</t>
  </si>
  <si>
    <t>byteclk (actual frequency)</t>
  </si>
  <si>
    <t>dsiclk (actual frequency)</t>
  </si>
  <si>
    <t>pclk (actual frequency)</t>
  </si>
  <si>
    <t>`</t>
  </si>
  <si>
    <t>Treot</t>
  </si>
  <si>
    <t>TEOT of data lane</t>
  </si>
  <si>
    <t>TEOT of clock lane</t>
  </si>
  <si>
    <t>MIPI PHY v1.1 requirement</t>
  </si>
  <si>
    <t>% from min (parameters w/ no max) =</t>
  </si>
  <si>
    <t>% within allowable PHY timing range =</t>
  </si>
  <si>
    <t>MMSS_CC ESCCLK PREDIV</t>
  </si>
  <si>
    <t>Full Rate Bitclk</t>
  </si>
  <si>
    <t>Mbps</t>
  </si>
  <si>
    <t>% from min Tclk-prepare =</t>
  </si>
  <si>
    <t>% from min Ths-prepare =</t>
  </si>
  <si>
    <t>Check for T_CLK_ZERO</t>
  </si>
  <si>
    <t>Qualcomm Technologies, Inc.
5775 Morehouse Drive
San Diego, CA 92121
U.S.A.</t>
  </si>
  <si>
    <t>Initial release</t>
  </si>
  <si>
    <t>A</t>
  </si>
  <si>
    <t>Description</t>
  </si>
  <si>
    <t>Date</t>
  </si>
  <si>
    <t>Revision</t>
  </si>
  <si>
    <t>Revision history</t>
  </si>
  <si>
    <t>Instructions</t>
  </si>
  <si>
    <t>DSI and MDP registers</t>
  </si>
  <si>
    <t>DSI Timing Parameters</t>
  </si>
  <si>
    <t>User Interactive Spreadsheet</t>
  </si>
  <si>
    <t>Confidential and Proprietary – Qualcomm Technologies, Inc.</t>
  </si>
  <si>
    <t>line time</t>
  </si>
  <si>
    <t>dec</t>
  </si>
  <si>
    <t>Check done!</t>
  </si>
  <si>
    <t>ok</t>
  </si>
  <si>
    <t>Hori. Front Porch</t>
  </si>
  <si>
    <t>Hori. Back Porch + hsync pulse width</t>
  </si>
  <si>
    <t>Hori. Back Porch</t>
  </si>
  <si>
    <t>Hsync Pulse Width</t>
  </si>
  <si>
    <t>Active Height</t>
  </si>
  <si>
    <t>Active Width</t>
  </si>
  <si>
    <t>Display Height</t>
  </si>
  <si>
    <t>Display Width</t>
  </si>
  <si>
    <t>pixel format BPP</t>
  </si>
  <si>
    <t>lane config</t>
  </si>
  <si>
    <t>frame rate</t>
  </si>
  <si>
    <t>Enter requirements (Enter values in blue)</t>
  </si>
  <si>
    <t>(User may overwrite the values in blue)</t>
  </si>
  <si>
    <t>program value</t>
  </si>
  <si>
    <t>overhead in data transmission</t>
  </si>
  <si>
    <t>value in hex</t>
  </si>
  <si>
    <t>This calculator is only applicable for the following chips:</t>
  </si>
  <si>
    <t>8x26</t>
  </si>
  <si>
    <t>8x16</t>
  </si>
  <si>
    <t>8x62</t>
  </si>
  <si>
    <t>B</t>
  </si>
  <si>
    <t>Updated colors</t>
  </si>
  <si>
    <t>C</t>
  </si>
  <si>
    <t>DSIPHY_TIMING_CTRL_0</t>
  </si>
  <si>
    <t>DSIPHY_TIMING_CTRL_1</t>
  </si>
  <si>
    <t>DSIPHY_TIMING_CTRL_2</t>
  </si>
  <si>
    <t xml:space="preserve">DSIPHY_TIMING_CTRL_3 </t>
  </si>
  <si>
    <t>DSIPHY_TIMING_CTRL_4</t>
  </si>
  <si>
    <t>DSIPHY_TIMING_CTRL_5</t>
  </si>
  <si>
    <t>DSIPHY_TIMING_CTRL_6</t>
  </si>
  <si>
    <t>DSIPHY_TIMING_CTRL_7</t>
  </si>
  <si>
    <t>DSIPHY_TIMING_CTRL_8</t>
  </si>
  <si>
    <t>DSIPHY_TIMING_CTRL_9</t>
  </si>
  <si>
    <t>DSIPHY_TIMING_CTRL_10</t>
  </si>
  <si>
    <t>DSI_CLKOUT_TIMING_CTRL</t>
  </si>
  <si>
    <t xml:space="preserve">DSI_TEST_PATTERN_GEN_VIDEO_ENABLE </t>
  </si>
  <si>
    <t>PHY Registers</t>
  </si>
  <si>
    <t>Not to be used, copied, reproduced, or modified in whole or in part, nor its contents revealed in any manner to others without the express written permission of Qualcomm Technologies, Inc.</t>
  </si>
  <si>
    <t>This technical data may be subject to U.S. and international export, re-export, or transfer (“export”) laws. Diversion contrary to U.S. and international law is strictly prohibited.</t>
  </si>
  <si>
    <t>µs</t>
  </si>
  <si>
    <t>DSIPHY_CKLN_TIMING_CTRL_4</t>
  </si>
  <si>
    <t>DSIPHY_CKLN_TIMING_CTRL_5</t>
  </si>
  <si>
    <t>DSIPHY_CKLN_TIMING_CTRL_6</t>
  </si>
  <si>
    <t>DSIPHY_CKLN_TIMING_CTRL_7</t>
  </si>
  <si>
    <t>DSIPHY_CKLN_TIMING_CTRL_8</t>
  </si>
  <si>
    <t>DSIPHY_DLN[0123]_TIMING_CTRL_4</t>
  </si>
  <si>
    <t>DSIPHY_DLN[0123]_TIMING_CTRL_5</t>
  </si>
  <si>
    <t>DSIPHY_DLN[0123]_TIMING_CTRL_6</t>
  </si>
  <si>
    <t>DSIPHY_DLN[0123]_TIMING_CTRL_7</t>
  </si>
  <si>
    <t>DSIPHY_DLN[0123]_TIMING_CTRL_8</t>
  </si>
  <si>
    <t>T_HS_RQST of clk lane</t>
  </si>
  <si>
    <t>T_HS_EXIT of clk lane</t>
  </si>
  <si>
    <t>part of T_CLK_PREPARE of clk lane</t>
  </si>
  <si>
    <t>T_HS_RQST of data lane</t>
  </si>
  <si>
    <t>DSIPHY_DLN[0123]_TIMING_CTRL_9</t>
  </si>
  <si>
    <t>DSIPHY_DLN[0123]_TIMING_CTRL_10</t>
  </si>
  <si>
    <t>DSIPHY_DLN[0123]_CFG1.DSIPHY_HSTX_HALFBYTECLK_EN</t>
  </si>
  <si>
    <t>part of T_HS_RQST of data lane</t>
  </si>
  <si>
    <t>8x28</t>
  </si>
  <si>
    <t>8x18</t>
  </si>
  <si>
    <t>Escclk source (mxo = 27MHz, pxo = 24MHz, cxo = 19.2MHz)</t>
  </si>
  <si>
    <t>PHY 2.x.x. Registers</t>
  </si>
  <si>
    <t>2. DSI PHY 2.x.x registers</t>
  </si>
  <si>
    <t>DSIPHY_CKLN_CFG1.DSIPHY_HSTX_HALFBYTECLK_EN</t>
  </si>
  <si>
    <t>second t_clk_prepare control (DSIPHY_CKLN_CFG1.DSIPHY_HSTX_HALFBYTECLK_EN)</t>
  </si>
  <si>
    <t>T_HS_RQST of clock lane</t>
  </si>
  <si>
    <t>DSIPHY_CKLN_CFG0.DSIPHY_HSTX_PREPARE_DLY</t>
  </si>
  <si>
    <t>DSI PHY IP Catalog version (major)</t>
  </si>
  <si>
    <t>Chip</t>
  </si>
  <si>
    <t>theoretical value (ns)</t>
  </si>
  <si>
    <t>DSIPHY_DLN[0123]_CFG0.DSIPHY_HSTX_PREPARE_DLY</t>
  </si>
  <si>
    <t>second t_hs_rqst control (DSIPHY_DLN[0123]_CFG1.DSIPHY_HSTX_HALFBYTECLK_EN)</t>
  </si>
  <si>
    <t>% from min Ths-zero =</t>
  </si>
  <si>
    <t>part of T_HS_PREPARE of data lane</t>
  </si>
  <si>
    <t>Disclaimer</t>
  </si>
  <si>
    <t>D</t>
  </si>
  <si>
    <t>July  2014</t>
  </si>
  <si>
    <t>E</t>
  </si>
  <si>
    <t>F</t>
  </si>
  <si>
    <t>May  2015</t>
  </si>
  <si>
    <t>8x74</t>
  </si>
  <si>
    <t>8x84</t>
  </si>
  <si>
    <t>8x94</t>
  </si>
  <si>
    <t>8x92</t>
  </si>
  <si>
    <t>8x09</t>
  </si>
  <si>
    <t>8x36</t>
  </si>
  <si>
    <t>8x39</t>
  </si>
  <si>
    <t>8x96</t>
  </si>
  <si>
    <t>2.   Click the "DSI Timing Program" tab from the ribbon if not already active.</t>
  </si>
  <si>
    <t>3.   Click the "Check" button from the "DSI Timining Program" ribbon.</t>
  </si>
  <si>
    <t xml:space="preserve">DSI PHY x  timing settings </t>
  </si>
  <si>
    <t>2.   Specify desired data rate (entered manually in cell B3 on selected "DSI PHY x Timing Settings" worksheet</t>
  </si>
  <si>
    <t>3.   Click "Reset" from the "DSI Timing Program" ribbon</t>
  </si>
  <si>
    <t>4.   Click "Validate" to validate T_CLK_ZERO.  Cell G4 on the "DSI PHY Timing Settings" worksheet should state "VALID" after performing this step.</t>
  </si>
  <si>
    <t>% from min Tclk-zero =</t>
  </si>
  <si>
    <t xml:space="preserve">1.   Enter the DSI video prameters on the "DSI and MDP Registers" worksheet, select chipset from Cell C24( it picks up PHY timing and copy it to  this main tab). </t>
  </si>
  <si>
    <t>8x52</t>
  </si>
  <si>
    <t>8x56</t>
  </si>
  <si>
    <t>8x29</t>
  </si>
  <si>
    <t>Calculator values are approximate and are only considered estimates.  If the user chooses, measuring the PHY output is the best way to determine the 
actual PHY timing parameters.</t>
  </si>
  <si>
    <t>G</t>
  </si>
  <si>
    <t>Added 8x37, 8x17 and 8x53 to applicable chipset</t>
  </si>
  <si>
    <t>8x37</t>
  </si>
  <si>
    <t>8x17</t>
  </si>
  <si>
    <t>8x53</t>
  </si>
  <si>
    <t>Qualcomm is a trademark of Qualcomm Incorporated, registered in the United States and other countries. Other product and brand names may be trademarks or registered trademarks of their respective owners.</t>
  </si>
  <si>
    <t>second t_clk_prepare control (DSIPHY_HSTX_HALFBYTECLK_EN)</t>
  </si>
  <si>
    <t>second t_hs_rqst control (DSIPHY_HSTX_HALFBYTECLK_EN)</t>
  </si>
  <si>
    <t>2. DSI PHY 3.x.x registers</t>
  </si>
  <si>
    <t>PHY 3.x.x. Registers in DPHY mode</t>
  </si>
  <si>
    <t>DSIPHY_CMN_TIMING_CTRL_0</t>
  </si>
  <si>
    <t>HALFBYTECLK_EN</t>
  </si>
  <si>
    <t>DSIPHY_CMN_TIMING_CTRL_1</t>
  </si>
  <si>
    <t>DSIPHY_CMN_TIMING_CTRL_2</t>
  </si>
  <si>
    <t>DSIPHY_CMN_TIMING_CTRL_3</t>
  </si>
  <si>
    <t>DSIPHY_CMN_TIMING_CTRL_4</t>
  </si>
  <si>
    <t>DSIPHY_CMN_TIMING_CTRL_5</t>
  </si>
  <si>
    <t>DSIPHY_CMN_TIMING_CTRL_6</t>
  </si>
  <si>
    <t>DSIPHY_CMN_TIMING_CTRL_7</t>
  </si>
  <si>
    <t>DSIPHY_CMN_TIMING_CTRL_8</t>
  </si>
  <si>
    <t>DSIPHY_CMN_TIMING_CTRL_9</t>
  </si>
  <si>
    <t>DSIPHY_CMN_TIMING_CTRL_10</t>
  </si>
  <si>
    <t xml:space="preserve">% Tclk-pre = </t>
  </si>
  <si>
    <t xml:space="preserve">% Tclk-post = </t>
  </si>
  <si>
    <t>8x98</t>
  </si>
  <si>
    <t>PHY mode (0 = DPHY; 1 = CPHY)</t>
  </si>
  <si>
    <t>H</t>
  </si>
  <si>
    <t>Tool Requirements</t>
  </si>
  <si>
    <t>DSI PHY 3.0.0 CPHY timing not yet avail, do not put 1 CPHY</t>
  </si>
  <si>
    <t>SDM660</t>
  </si>
  <si>
    <t>SDM630</t>
  </si>
  <si>
    <t>J</t>
  </si>
  <si>
    <t>SDM450</t>
  </si>
  <si>
    <t>K</t>
  </si>
  <si>
    <t>L</t>
  </si>
  <si>
    <t>May  2017</t>
  </si>
  <si>
    <t>Added SDM450 to applicable chipset</t>
  </si>
  <si>
    <t>M</t>
  </si>
  <si>
    <t>June  2017</t>
  </si>
  <si>
    <t>Added SDM845 to applicable chipset</t>
  </si>
  <si>
    <t>SDM845</t>
  </si>
  <si>
    <t>SDM855</t>
  </si>
  <si>
    <t>SDM1000</t>
  </si>
  <si>
    <t>N</t>
  </si>
  <si>
    <t>PHY 4.x.x. Registers in DPHY mode</t>
  </si>
  <si>
    <t>DSIPHY_CMN_TIMING_CTRL_12</t>
  </si>
  <si>
    <t>DSIPHY_CMN_TIMING_CTRL_13</t>
  </si>
  <si>
    <t>DSIPHY_CMN_CTRL_3</t>
  </si>
  <si>
    <t>DSI_LANE_CTRL.CLKLN_HS_REQUEST_SEL</t>
  </si>
  <si>
    <t>2. DSI PHY 4.x.x registers</t>
  </si>
  <si>
    <t>T_TA_SURE, T_TA_GO</t>
  </si>
  <si>
    <t>initial deskew calibration</t>
  </si>
  <si>
    <t>periodic deskew calibration</t>
  </si>
  <si>
    <t>MIPI PHY v1.2 requirement</t>
  </si>
  <si>
    <t>% from min initial deskew =</t>
  </si>
  <si>
    <t>% from min periodic deskew =</t>
  </si>
  <si>
    <t>DSI_DESKEW_DELAY_CTRL (setting for initial deskew)</t>
  </si>
  <si>
    <t>DSI_DESKEW_DELAY_CTRL (setting for periodic deskew)</t>
  </si>
  <si>
    <t>DSI_DESKEW_CTRL.DESKEW_CONTINOUS_CLK_EN (setting for periodic deskew in video mode operation)</t>
  </si>
  <si>
    <t>T_CLK_POST min required if periodic deskew calibration is required for video mode operation and if the line time is &lt; 5us</t>
  </si>
  <si>
    <t>periodic deskew calibration required (0 = no; 1 = yes)</t>
  </si>
  <si>
    <t>video mode operation (0 = command mode; 1 = video mode)</t>
  </si>
  <si>
    <t>Deskew Calibration setting</t>
  </si>
  <si>
    <t>LP-HS transition</t>
  </si>
  <si>
    <t>min line time required (= LP-HS transition + HW latency)</t>
  </si>
  <si>
    <t>P</t>
  </si>
  <si>
    <r>
      <t xml:space="preserve">NO PUBLIC DISCLOSURE PERMITTED: </t>
    </r>
    <r>
      <rPr>
        <sz val="8"/>
        <color theme="1"/>
        <rFont val="Arial"/>
        <family val="2"/>
      </rPr>
      <t xml:space="preserve">Please report postings of this document on public servers or websites to: DocCtrlAgent@qualcomm.com. </t>
    </r>
  </si>
  <si>
    <r>
      <rPr>
        <b/>
        <sz val="8"/>
        <color theme="1"/>
        <rFont val="Arial"/>
        <family val="2"/>
      </rPr>
      <t>Restricted Distribution</t>
    </r>
    <r>
      <rPr>
        <sz val="8"/>
        <color theme="1"/>
        <rFont val="Arial"/>
        <family val="2"/>
      </rPr>
      <t>: Not to be distributed to anyone who is not an employee of either Qualcomm Technologies, Inc. or its affiliated companies without the express approval of Qualcomm Configuration Management.</t>
    </r>
  </si>
  <si>
    <t>October 2017</t>
  </si>
  <si>
    <t>Added SDM670 and SDM636 to applicable chipset</t>
  </si>
  <si>
    <t>March 2018</t>
  </si>
  <si>
    <t>April 2018</t>
  </si>
  <si>
    <r>
      <rPr>
        <b/>
        <sz val="10"/>
        <rFont val="Arial"/>
        <family val="2"/>
      </rPr>
      <t>Note</t>
    </r>
    <r>
      <rPr>
        <sz val="10"/>
        <rFont val="Arial"/>
        <family val="2"/>
      </rPr>
      <t>: There is no Rev. I, O, Q, S, X, or Z per Mil. standards.</t>
    </r>
  </si>
  <si>
    <t>R</t>
  </si>
  <si>
    <t>80-NH713-1 R</t>
  </si>
  <si>
    <t>SDM636</t>
  </si>
  <si>
    <t>SDM670</t>
  </si>
  <si>
    <t>SDM710</t>
  </si>
  <si>
    <t>SDM632</t>
  </si>
  <si>
    <t>All Qualcomm products mentioned herein are products of Qualcomm Technologies, Inc. and/or its subsidiaries.</t>
  </si>
  <si>
    <t>1.   Use "DSI PHY timing setting" worksheet if chips are in range of Cell B3 to  B19 on this tab, 
use "DSI PHY 2.0.0 timing setting" worksheet for 8x96, 8x53, SDM660, SDM630, SDM450, SDM636, and SDM632
 use "DSI PHY 3.0.0 timing setting" worksheet for 8x98, SDM845, SDM670, and SDM710
 use "DSI PHY 4.0.0 timing setting" worksheet for SDM855 and SDM1000.</t>
  </si>
  <si>
    <t>April 30, 2018</t>
  </si>
  <si>
    <t>© 2013-2018 Qualcomm Technologies, Inc. and/or its subsidiaries. All rights reserved.</t>
  </si>
  <si>
    <t xml:space="preserve">Fixed wrong Macro of DSI PHY timing register setting in "DSI and MDP registers" tab </t>
  </si>
  <si>
    <t>Added 8994 and 8992 to applicable chipset in "User Instructions" tab</t>
  </si>
  <si>
    <t>Added 8909,8936 and 8939 to applicable chipset in "User Instructions" tab</t>
  </si>
  <si>
    <t xml:space="preserve">Added 8x18, 8x28, 8x52, 8x56, 8x29, and 8x96 to applicable chipset in "User Instructions" tab;
Added "DSI PHY 2.0.0 timing setting" tab </t>
  </si>
  <si>
    <t>Added 8x98 to applicable chipset, add "DSI PHY 3.0.0 DPHY timing" tab</t>
  </si>
  <si>
    <t>Added SDM660,SDM630 to applicable chipset, updated  "DSI PHY 3.0.0 DPHY timing" tab</t>
  </si>
  <si>
    <t>Updated "DSI and MDP registers" tab and "DSI PHY 2.0.0 timing setting" tab</t>
  </si>
  <si>
    <t>Added minimum line time calculation in "DSI and MDP registers" tab</t>
  </si>
  <si>
    <t>Added SDM710, SDM632, SDM855, SDM1000 to applicable chips in "User Instructions" tab
Added "DSI PHY 4.0.0 DPHY timing" tab</t>
  </si>
  <si>
    <t>August 2013</t>
  </si>
  <si>
    <t>October 2013</t>
  </si>
  <si>
    <t>December  2014</t>
  </si>
  <si>
    <t>February  2016</t>
  </si>
  <si>
    <t>August  2016</t>
  </si>
  <si>
    <t>February  2017</t>
  </si>
  <si>
    <t>April  2017</t>
  </si>
  <si>
    <t>Use Excel 2010 or higher for proper macro operation.</t>
  </si>
  <si>
    <t>Vert. Back Porch + VSync pulse width</t>
  </si>
  <si>
    <t>8x17</t>
    <phoneticPr fontId="51" type="noConversion"/>
  </si>
</sst>
</file>

<file path=xl/styles.xml><?xml version="1.0" encoding="utf-8"?>
<styleSheet xmlns="http://schemas.openxmlformats.org/spreadsheetml/2006/main">
  <numFmts count="4">
    <numFmt numFmtId="176" formatCode="00000000"/>
    <numFmt numFmtId="177" formatCode="[$-409]mmmm\ d\,\ yyyy;@"/>
    <numFmt numFmtId="178" formatCode="mmmm\ yyyy"/>
    <numFmt numFmtId="179" formatCode="[$-409]d\-mmm\-yy;@"/>
  </numFmts>
  <fonts count="52">
    <font>
      <sz val="10"/>
      <color theme="1"/>
      <name val="Arial"/>
      <family val="2"/>
    </font>
    <font>
      <sz val="11"/>
      <color theme="1"/>
      <name val="宋体"/>
      <family val="2"/>
      <scheme val="minor"/>
    </font>
    <font>
      <b/>
      <sz val="10"/>
      <color theme="1"/>
      <name val="Arial"/>
      <family val="2"/>
    </font>
    <font>
      <i/>
      <sz val="10"/>
      <name val="Arial"/>
      <family val="2"/>
    </font>
    <font>
      <b/>
      <sz val="10"/>
      <name val="Arial"/>
      <family val="2"/>
    </font>
    <font>
      <sz val="10"/>
      <name val="Arial"/>
      <family val="2"/>
    </font>
    <font>
      <b/>
      <sz val="10"/>
      <color rgb="FFFF0000"/>
      <name val="Arial"/>
      <family val="2"/>
    </font>
    <font>
      <b/>
      <sz val="10"/>
      <color rgb="FF0070C0"/>
      <name val="Arial"/>
      <family val="2"/>
    </font>
    <font>
      <b/>
      <sz val="14"/>
      <name val="Arial"/>
      <family val="2"/>
    </font>
    <font>
      <b/>
      <sz val="14"/>
      <color theme="1"/>
      <name val="Arial"/>
      <family val="2"/>
    </font>
    <font>
      <sz val="10"/>
      <color rgb="FF009600"/>
      <name val="Arial"/>
      <family val="2"/>
    </font>
    <font>
      <sz val="10"/>
      <color theme="1"/>
      <name val="Arial"/>
      <family val="2"/>
    </font>
    <font>
      <sz val="10"/>
      <name val="Arial"/>
      <family val="2"/>
    </font>
    <font>
      <b/>
      <i/>
      <sz val="24"/>
      <name val="Arial"/>
      <family val="2"/>
    </font>
    <font>
      <sz val="9"/>
      <name val="Arial"/>
      <family val="2"/>
    </font>
    <font>
      <b/>
      <sz val="9"/>
      <name val="Arial"/>
      <family val="2"/>
    </font>
    <font>
      <b/>
      <sz val="16"/>
      <name val="Arial"/>
      <family val="2"/>
    </font>
    <font>
      <b/>
      <sz val="20"/>
      <name val="Arial"/>
      <family val="2"/>
    </font>
    <font>
      <sz val="10"/>
      <color theme="0" tint="-0.499984740745262"/>
      <name val="Arial"/>
      <family val="2"/>
    </font>
    <font>
      <b/>
      <sz val="10"/>
      <color theme="0" tint="-0.499984740745262"/>
      <name val="Arial"/>
      <family val="2"/>
    </font>
    <font>
      <sz val="10"/>
      <color rgb="FF0070C0"/>
      <name val="Arial"/>
      <family val="2"/>
    </font>
    <font>
      <b/>
      <sz val="18"/>
      <color theme="8" tint="-0.249977111117893"/>
      <name val="Arial"/>
      <family val="2"/>
    </font>
    <font>
      <b/>
      <sz val="14"/>
      <color rgb="FF0070C0"/>
      <name val="Arial"/>
      <family val="2"/>
    </font>
    <font>
      <sz val="10"/>
      <color rgb="FFFF0000"/>
      <name val="Arial"/>
      <family val="2"/>
    </font>
    <font>
      <b/>
      <sz val="14"/>
      <color indexed="12"/>
      <name val="Arial"/>
      <family val="2"/>
    </font>
    <font>
      <sz val="10"/>
      <color theme="8" tint="-0.249977111117893"/>
      <name val="Arial"/>
      <family val="2"/>
    </font>
    <font>
      <sz val="10"/>
      <color rgb="FF31849B"/>
      <name val="Arial"/>
      <family val="2"/>
    </font>
    <font>
      <sz val="11"/>
      <color theme="1"/>
      <name val="Calibri"/>
      <family val="2"/>
    </font>
    <font>
      <sz val="10"/>
      <color theme="0" tint="-0.14999847407452621"/>
      <name val="Arial"/>
      <family val="2"/>
    </font>
    <font>
      <b/>
      <sz val="10"/>
      <color theme="0" tint="-0.14999847407452621"/>
      <name val="Arial"/>
      <family val="2"/>
    </font>
    <font>
      <b/>
      <sz val="12"/>
      <color theme="0" tint="-0.14999847407452621"/>
      <name val="Arial"/>
      <family val="2"/>
    </font>
    <font>
      <b/>
      <sz val="14"/>
      <color theme="8" tint="-0.249977111117893"/>
      <name val="Arial"/>
      <family val="2"/>
    </font>
    <font>
      <sz val="10"/>
      <color rgb="FF006100"/>
      <name val="Arial"/>
      <family val="2"/>
    </font>
    <font>
      <sz val="10"/>
      <name val="Arial"/>
      <family val="2"/>
    </font>
    <font>
      <b/>
      <sz val="10"/>
      <color theme="8" tint="-0.249977111117893"/>
      <name val="Arial"/>
      <family val="2"/>
    </font>
    <font>
      <b/>
      <i/>
      <sz val="10"/>
      <name val="Arial"/>
      <family val="2"/>
    </font>
    <font>
      <sz val="14"/>
      <name val="Arial"/>
      <family val="2"/>
    </font>
    <font>
      <sz val="12"/>
      <name val="Times New Roman"/>
      <family val="1"/>
    </font>
    <font>
      <b/>
      <sz val="22"/>
      <name val="Arial"/>
      <family val="2"/>
    </font>
    <font>
      <sz val="18"/>
      <name val="Arial"/>
      <family val="2"/>
    </font>
    <font>
      <sz val="12"/>
      <name val="Arial"/>
      <family val="2"/>
    </font>
    <font>
      <b/>
      <sz val="8"/>
      <name val="Arial"/>
      <family val="2"/>
    </font>
    <font>
      <sz val="8"/>
      <name val="Arial"/>
      <family val="2"/>
    </font>
    <font>
      <sz val="10"/>
      <name val="Arial"/>
      <family val="2"/>
    </font>
    <font>
      <sz val="11"/>
      <name val="Times New Roman"/>
      <family val="1"/>
    </font>
    <font>
      <b/>
      <sz val="11"/>
      <name val="Times New Roman"/>
      <family val="1"/>
    </font>
    <font>
      <sz val="11"/>
      <color theme="1"/>
      <name val="Times New Roman"/>
      <family val="1"/>
    </font>
    <font>
      <sz val="10"/>
      <name val="Arial"/>
      <family val="2"/>
    </font>
    <font>
      <b/>
      <sz val="12"/>
      <name val="Arial"/>
      <family val="2"/>
    </font>
    <font>
      <sz val="8"/>
      <color theme="1"/>
      <name val="Arial"/>
      <family val="2"/>
    </font>
    <font>
      <b/>
      <sz val="8"/>
      <color theme="1"/>
      <name val="Arial"/>
      <family val="2"/>
    </font>
    <font>
      <sz val="9"/>
      <name val="宋体"/>
      <family val="3"/>
      <charset val="134"/>
    </font>
  </fonts>
  <fills count="6">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theme="3" tint="0.79998168889431442"/>
        <bgColor indexed="64"/>
      </patternFill>
    </fill>
    <fill>
      <patternFill patternType="solid">
        <fgColor rgb="FFC6EFCE"/>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95">
    <xf numFmtId="0" fontId="0" fillId="0" borderId="0"/>
    <xf numFmtId="0" fontId="12" fillId="0" borderId="0"/>
    <xf numFmtId="0" fontId="1" fillId="0" borderId="0"/>
    <xf numFmtId="0" fontId="1" fillId="0" borderId="0"/>
    <xf numFmtId="0" fontId="1" fillId="0" borderId="0"/>
    <xf numFmtId="0" fontId="11" fillId="0" borderId="0"/>
    <xf numFmtId="0" fontId="11" fillId="0" borderId="0"/>
    <xf numFmtId="0" fontId="11" fillId="0" borderId="0"/>
    <xf numFmtId="0" fontId="1" fillId="0" borderId="0"/>
    <xf numFmtId="0" fontId="1" fillId="0" borderId="0"/>
    <xf numFmtId="0" fontId="1" fillId="0" borderId="0"/>
    <xf numFmtId="0" fontId="1" fillId="0" borderId="0"/>
    <xf numFmtId="0" fontId="5" fillId="0" borderId="0"/>
    <xf numFmtId="0" fontId="33" fillId="0" borderId="0"/>
    <xf numFmtId="0" fontId="32" fillId="5" borderId="0" applyNumberFormat="0" applyBorder="0" applyAlignment="0" applyProtection="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11" fillId="0" borderId="0"/>
    <xf numFmtId="179" fontId="11" fillId="0" borderId="0"/>
    <xf numFmtId="0" fontId="1" fillId="0" borderId="0"/>
    <xf numFmtId="179" fontId="11" fillId="0" borderId="0"/>
    <xf numFmtId="179" fontId="11" fillId="0" borderId="0"/>
    <xf numFmtId="0" fontId="1" fillId="0" borderId="0"/>
    <xf numFmtId="0" fontId="1" fillId="0" borderId="0"/>
    <xf numFmtId="179" fontId="11" fillId="0" borderId="0"/>
    <xf numFmtId="179" fontId="11" fillId="0" borderId="0"/>
    <xf numFmtId="179" fontId="11" fillId="0" borderId="0"/>
    <xf numFmtId="179" fontId="5" fillId="0" borderId="0"/>
    <xf numFmtId="179" fontId="5" fillId="0" borderId="0"/>
    <xf numFmtId="177" fontId="37" fillId="0" borderId="0" applyBorder="0"/>
    <xf numFmtId="177" fontId="5" fillId="0" borderId="0"/>
    <xf numFmtId="177" fontId="43" fillId="0" borderId="0" applyBorder="0"/>
    <xf numFmtId="177" fontId="5" fillId="0" borderId="0" applyBorder="0"/>
    <xf numFmtId="177" fontId="47" fillId="0" borderId="0" applyBorder="0"/>
    <xf numFmtId="177" fontId="5" fillId="0" borderId="0" applyBorder="0"/>
  </cellStyleXfs>
  <cellXfs count="146">
    <xf numFmtId="0" fontId="0" fillId="0" borderId="0" xfId="0"/>
    <xf numFmtId="0" fontId="3" fillId="0" borderId="0" xfId="0" applyFont="1"/>
    <xf numFmtId="0" fontId="4" fillId="0" borderId="0" xfId="0" applyFont="1" applyAlignment="1">
      <alignment horizontal="center"/>
    </xf>
    <xf numFmtId="0" fontId="2" fillId="0" borderId="0" xfId="0" applyFont="1"/>
    <xf numFmtId="0" fontId="0" fillId="0" borderId="0" xfId="0" applyAlignment="1">
      <alignment horizontal="center"/>
    </xf>
    <xf numFmtId="0" fontId="6" fillId="0" borderId="0" xfId="0" applyFont="1" applyAlignment="1">
      <alignment horizontal="center"/>
    </xf>
    <xf numFmtId="0" fontId="2" fillId="0" borderId="0" xfId="0" applyFont="1" applyAlignment="1">
      <alignment horizontal="center"/>
    </xf>
    <xf numFmtId="0" fontId="5" fillId="0" borderId="0" xfId="0" applyFont="1" applyAlignment="1">
      <alignment horizontal="right"/>
    </xf>
    <xf numFmtId="0" fontId="9" fillId="0" borderId="0" xfId="0" applyFont="1"/>
    <xf numFmtId="2" fontId="5" fillId="0" borderId="0" xfId="0" applyNumberFormat="1" applyFont="1"/>
    <xf numFmtId="0" fontId="4" fillId="0" borderId="0" xfId="0" applyFont="1" applyFill="1"/>
    <xf numFmtId="0" fontId="0" fillId="3" borderId="0" xfId="0" applyFill="1"/>
    <xf numFmtId="0" fontId="9" fillId="3" borderId="0" xfId="0" applyFont="1" applyFill="1"/>
    <xf numFmtId="0" fontId="0" fillId="0" borderId="0" xfId="0" applyAlignment="1">
      <alignment horizontal="left"/>
    </xf>
    <xf numFmtId="0" fontId="0" fillId="0" borderId="0" xfId="0"/>
    <xf numFmtId="0" fontId="0" fillId="0" borderId="0" xfId="0" applyAlignment="1">
      <alignment horizontal="right"/>
    </xf>
    <xf numFmtId="2" fontId="0" fillId="0" borderId="0" xfId="0" applyNumberFormat="1"/>
    <xf numFmtId="0" fontId="0" fillId="0" borderId="1" xfId="0" applyFont="1" applyBorder="1" applyAlignment="1">
      <alignment horizontal="center"/>
    </xf>
    <xf numFmtId="0" fontId="0" fillId="0" borderId="1" xfId="0" applyBorder="1" applyAlignment="1">
      <alignment horizontal="center"/>
    </xf>
    <xf numFmtId="0" fontId="2" fillId="2" borderId="1" xfId="0" applyFont="1" applyFill="1" applyBorder="1" applyAlignment="1">
      <alignment horizontal="center" vertical="center"/>
    </xf>
    <xf numFmtId="9" fontId="2" fillId="2" borderId="1" xfId="0" applyNumberFormat="1" applyFont="1" applyFill="1" applyBorder="1" applyAlignment="1">
      <alignment horizontal="center"/>
    </xf>
    <xf numFmtId="0" fontId="2" fillId="0" borderId="1" xfId="0" applyFont="1" applyBorder="1" applyAlignment="1">
      <alignment horizontal="center"/>
    </xf>
    <xf numFmtId="0" fontId="7" fillId="0" borderId="1" xfId="0" applyFont="1" applyBorder="1" applyAlignment="1">
      <alignment horizontal="center"/>
    </xf>
    <xf numFmtId="0" fontId="6" fillId="0" borderId="1" xfId="0" applyFont="1" applyBorder="1" applyAlignment="1">
      <alignment horizontal="center"/>
    </xf>
    <xf numFmtId="0" fontId="2" fillId="2" borderId="1" xfId="0" applyFont="1" applyFill="1" applyBorder="1"/>
    <xf numFmtId="0" fontId="0" fillId="0" borderId="1" xfId="0" applyNumberFormat="1" applyBorder="1" applyAlignment="1">
      <alignment horizontal="center"/>
    </xf>
    <xf numFmtId="0" fontId="0" fillId="0" borderId="1" xfId="0" applyBorder="1"/>
    <xf numFmtId="0" fontId="2" fillId="2" borderId="3" xfId="0" applyFont="1" applyFill="1" applyBorder="1" applyAlignment="1">
      <alignment horizontal="center" vertical="center"/>
    </xf>
    <xf numFmtId="0" fontId="2" fillId="0" borderId="3" xfId="0" applyFont="1" applyBorder="1" applyAlignment="1">
      <alignment horizontal="center"/>
    </xf>
    <xf numFmtId="0" fontId="5" fillId="2" borderId="1" xfId="0" applyFont="1" applyFill="1" applyBorder="1"/>
    <xf numFmtId="0" fontId="4" fillId="2" borderId="1" xfId="0" applyFont="1" applyFill="1" applyBorder="1"/>
    <xf numFmtId="0" fontId="2" fillId="0" borderId="1" xfId="0" applyFont="1" applyBorder="1"/>
    <xf numFmtId="0" fontId="5" fillId="0" borderId="0" xfId="12" applyAlignment="1">
      <alignment vertical="center"/>
    </xf>
    <xf numFmtId="0" fontId="14" fillId="0" borderId="4" xfId="12" applyFont="1" applyBorder="1" applyAlignment="1">
      <alignment vertical="center" wrapText="1"/>
    </xf>
    <xf numFmtId="0" fontId="14" fillId="0" borderId="5" xfId="12" applyFont="1" applyBorder="1" applyAlignment="1">
      <alignment horizontal="center" vertical="center" wrapText="1"/>
    </xf>
    <xf numFmtId="0" fontId="15" fillId="0" borderId="6" xfId="12" applyFont="1" applyBorder="1" applyAlignment="1">
      <alignment horizontal="center" vertical="center" wrapText="1"/>
    </xf>
    <xf numFmtId="0" fontId="15" fillId="0" borderId="7" xfId="12" applyFont="1" applyBorder="1" applyAlignment="1">
      <alignment horizontal="center" vertical="center" wrapText="1"/>
    </xf>
    <xf numFmtId="0" fontId="14" fillId="0" borderId="0" xfId="12" applyFont="1" applyBorder="1" applyAlignment="1">
      <alignment horizontal="center" vertical="center" wrapText="1"/>
    </xf>
    <xf numFmtId="0" fontId="15" fillId="0" borderId="0" xfId="12" applyFont="1" applyBorder="1" applyAlignment="1">
      <alignment horizontal="center" vertical="center" wrapText="1"/>
    </xf>
    <xf numFmtId="0" fontId="5" fillId="0" borderId="0" xfId="0" applyFont="1"/>
    <xf numFmtId="0" fontId="5" fillId="0" borderId="0" xfId="0" applyFont="1" applyAlignment="1">
      <alignment vertical="center"/>
    </xf>
    <xf numFmtId="0" fontId="17" fillId="0" borderId="0" xfId="0" applyFont="1" applyAlignment="1">
      <alignment vertical="center"/>
    </xf>
    <xf numFmtId="0" fontId="4" fillId="2" borderId="1" xfId="0" applyFont="1" applyFill="1" applyBorder="1" applyAlignment="1">
      <alignment horizontal="center" vertical="center"/>
    </xf>
    <xf numFmtId="0" fontId="2" fillId="2" borderId="1" xfId="0" applyFont="1" applyFill="1" applyBorder="1" applyAlignment="1">
      <alignment horizontal="center"/>
    </xf>
    <xf numFmtId="0" fontId="18" fillId="0" borderId="0" xfId="0" applyFont="1"/>
    <xf numFmtId="2" fontId="18" fillId="0" borderId="0" xfId="0" applyNumberFormat="1" applyFont="1"/>
    <xf numFmtId="0" fontId="19" fillId="0" borderId="0" xfId="0" applyFont="1"/>
    <xf numFmtId="0" fontId="20" fillId="0" borderId="0" xfId="0" applyFont="1"/>
    <xf numFmtId="0" fontId="0" fillId="0" borderId="0" xfId="0" applyFill="1"/>
    <xf numFmtId="0" fontId="21" fillId="0" borderId="0" xfId="0" applyFont="1"/>
    <xf numFmtId="0" fontId="22" fillId="0" borderId="0" xfId="0" applyFont="1"/>
    <xf numFmtId="0" fontId="23" fillId="0" borderId="0" xfId="0" applyFont="1" applyAlignment="1">
      <alignment horizontal="right"/>
    </xf>
    <xf numFmtId="0" fontId="18" fillId="0" borderId="0" xfId="0" applyFont="1" applyAlignment="1">
      <alignment horizontal="right"/>
    </xf>
    <xf numFmtId="176" fontId="5" fillId="0" borderId="0" xfId="0" applyNumberFormat="1" applyFont="1" applyAlignment="1">
      <alignment horizontal="right"/>
    </xf>
    <xf numFmtId="0" fontId="24" fillId="0" borderId="0" xfId="0" applyFont="1"/>
    <xf numFmtId="0" fontId="23" fillId="0" borderId="0" xfId="0" applyFont="1"/>
    <xf numFmtId="0" fontId="10" fillId="0" borderId="0" xfId="0" applyFont="1"/>
    <xf numFmtId="0" fontId="3" fillId="3" borderId="0" xfId="0" applyFont="1" applyFill="1"/>
    <xf numFmtId="0" fontId="25" fillId="0" borderId="0" xfId="0" applyFont="1"/>
    <xf numFmtId="0" fontId="26" fillId="0" borderId="0" xfId="0" applyFont="1" applyAlignment="1">
      <alignment horizontal="right"/>
    </xf>
    <xf numFmtId="0" fontId="27" fillId="0" borderId="0" xfId="0" applyFont="1"/>
    <xf numFmtId="0" fontId="11" fillId="0" borderId="0" xfId="0" applyFont="1" applyAlignment="1">
      <alignment horizontal="right"/>
    </xf>
    <xf numFmtId="0" fontId="28" fillId="0" borderId="0" xfId="0" applyFont="1"/>
    <xf numFmtId="1" fontId="28" fillId="0" borderId="0" xfId="0" applyNumberFormat="1" applyFont="1"/>
    <xf numFmtId="0" fontId="29" fillId="0" borderId="0" xfId="0" applyFont="1"/>
    <xf numFmtId="0" fontId="30" fillId="0" borderId="0" xfId="0" applyFont="1"/>
    <xf numFmtId="0" fontId="31" fillId="3" borderId="0" xfId="0" applyFont="1" applyFill="1"/>
    <xf numFmtId="2" fontId="5" fillId="4" borderId="1" xfId="0" applyNumberFormat="1" applyFont="1" applyFill="1" applyBorder="1" applyAlignment="1">
      <alignment horizontal="center"/>
    </xf>
    <xf numFmtId="0" fontId="5" fillId="4" borderId="1" xfId="0" applyFont="1" applyFill="1" applyBorder="1" applyAlignment="1">
      <alignment horizontal="center"/>
    </xf>
    <xf numFmtId="0" fontId="8" fillId="0" borderId="1" xfId="0" applyFont="1" applyBorder="1"/>
    <xf numFmtId="0" fontId="0" fillId="0" borderId="1" xfId="0" applyBorder="1" applyAlignment="1">
      <alignment horizontal="left"/>
    </xf>
    <xf numFmtId="0" fontId="8" fillId="2" borderId="1" xfId="0" applyFont="1" applyFill="1" applyBorder="1"/>
    <xf numFmtId="0" fontId="14" fillId="0" borderId="1" xfId="12" applyFont="1" applyBorder="1" applyAlignment="1">
      <alignment vertical="center"/>
    </xf>
    <xf numFmtId="0" fontId="14" fillId="0" borderId="1" xfId="12" applyFont="1" applyBorder="1" applyAlignment="1">
      <alignment horizontal="center" vertical="center"/>
    </xf>
    <xf numFmtId="0" fontId="5" fillId="0" borderId="0" xfId="0" applyFont="1" applyAlignment="1">
      <alignment horizontal="left"/>
    </xf>
    <xf numFmtId="0" fontId="0" fillId="0" borderId="0" xfId="0" applyFont="1"/>
    <xf numFmtId="0" fontId="2" fillId="2" borderId="1" xfId="0" applyFont="1" applyFill="1" applyBorder="1" applyAlignment="1">
      <alignment horizontal="center"/>
    </xf>
    <xf numFmtId="0" fontId="4" fillId="2" borderId="1" xfId="0" applyFont="1" applyFill="1" applyBorder="1" applyAlignment="1">
      <alignment horizontal="center" vertical="center"/>
    </xf>
    <xf numFmtId="178" fontId="14" fillId="0" borderId="4" xfId="12" applyNumberFormat="1" applyFont="1" applyBorder="1" applyAlignment="1">
      <alignment horizontal="center" vertical="center" wrapText="1"/>
    </xf>
    <xf numFmtId="17" fontId="14" fillId="0" borderId="1" xfId="12" quotePrefix="1" applyNumberFormat="1" applyFont="1" applyBorder="1" applyAlignment="1">
      <alignment horizontal="center" vertical="center"/>
    </xf>
    <xf numFmtId="49" fontId="14" fillId="0" borderId="1" xfId="12" quotePrefix="1" applyNumberFormat="1" applyFont="1" applyBorder="1" applyAlignment="1">
      <alignment horizontal="center" vertical="center"/>
    </xf>
    <xf numFmtId="0" fontId="4" fillId="2" borderId="1" xfId="0" applyFont="1" applyFill="1" applyBorder="1" applyAlignment="1">
      <alignment wrapText="1"/>
    </xf>
    <xf numFmtId="0" fontId="34" fillId="3" borderId="0" xfId="0" applyFont="1" applyFill="1"/>
    <xf numFmtId="0" fontId="25" fillId="3" borderId="0" xfId="0" applyFont="1" applyFill="1"/>
    <xf numFmtId="0" fontId="35" fillId="2" borderId="1" xfId="0" applyFont="1" applyFill="1" applyBorder="1" applyAlignment="1">
      <alignment wrapText="1"/>
    </xf>
    <xf numFmtId="0" fontId="2" fillId="0" borderId="0" xfId="0" applyFont="1" applyBorder="1" applyAlignment="1">
      <alignment horizontal="center"/>
    </xf>
    <xf numFmtId="0" fontId="0" fillId="0" borderId="0" xfId="0" applyBorder="1" applyAlignment="1">
      <alignment horizontal="center"/>
    </xf>
    <xf numFmtId="0" fontId="2" fillId="2" borderId="1" xfId="0" applyFont="1" applyFill="1" applyBorder="1" applyAlignment="1">
      <alignment wrapText="1"/>
    </xf>
    <xf numFmtId="0" fontId="0" fillId="0" borderId="0" xfId="0" applyFont="1" applyAlignment="1">
      <alignment vertical="center"/>
    </xf>
    <xf numFmtId="0" fontId="10" fillId="3" borderId="0" xfId="0" applyFont="1" applyFill="1"/>
    <xf numFmtId="0" fontId="14" fillId="0" borderId="1" xfId="12" applyFont="1" applyBorder="1" applyAlignment="1">
      <alignment vertical="center" wrapText="1"/>
    </xf>
    <xf numFmtId="177" fontId="38" fillId="0" borderId="0" xfId="89" applyFont="1" applyAlignment="1" applyProtection="1">
      <alignment horizontal="left" wrapText="1"/>
      <protection locked="0"/>
    </xf>
    <xf numFmtId="177" fontId="39" fillId="0" borderId="0" xfId="89" applyFont="1" applyAlignment="1" applyProtection="1">
      <alignment horizontal="left" wrapText="1"/>
      <protection locked="0"/>
    </xf>
    <xf numFmtId="177" fontId="40" fillId="0" borderId="0" xfId="89" applyNumberFormat="1" applyFont="1" applyAlignment="1" applyProtection="1">
      <alignment horizontal="left" wrapText="1"/>
      <protection locked="0"/>
    </xf>
    <xf numFmtId="0" fontId="41" fillId="0" borderId="0" xfId="89" applyNumberFormat="1" applyFont="1" applyAlignment="1" applyProtection="1">
      <alignment horizontal="center"/>
      <protection locked="0"/>
    </xf>
    <xf numFmtId="0" fontId="42" fillId="0" borderId="0" xfId="89" applyNumberFormat="1" applyFont="1" applyAlignment="1" applyProtection="1">
      <alignment horizontal="justify" vertical="center" wrapText="1"/>
      <protection locked="0"/>
    </xf>
    <xf numFmtId="0" fontId="5" fillId="0" borderId="0" xfId="90" applyNumberFormat="1"/>
    <xf numFmtId="0" fontId="5" fillId="0" borderId="0" xfId="90" applyNumberFormat="1" applyProtection="1">
      <protection locked="0"/>
    </xf>
    <xf numFmtId="0" fontId="37" fillId="0" borderId="0" xfId="89" applyNumberFormat="1"/>
    <xf numFmtId="14" fontId="37" fillId="0" borderId="0" xfId="89" applyNumberFormat="1"/>
    <xf numFmtId="0" fontId="37" fillId="0" borderId="0" xfId="89" applyNumberFormat="1" applyAlignment="1"/>
    <xf numFmtId="0" fontId="5" fillId="0" borderId="0" xfId="92" applyNumberFormat="1"/>
    <xf numFmtId="0" fontId="5" fillId="0" borderId="0" xfId="90" applyNumberFormat="1" applyFont="1"/>
    <xf numFmtId="0" fontId="13" fillId="0" borderId="0" xfId="89" applyNumberFormat="1" applyFont="1" applyAlignment="1" applyProtection="1">
      <alignment horizontal="right" wrapText="1"/>
      <protection locked="0"/>
    </xf>
    <xf numFmtId="0" fontId="5" fillId="0" borderId="0" xfId="92" applyNumberFormat="1" applyAlignment="1"/>
    <xf numFmtId="0" fontId="37" fillId="0" borderId="0" xfId="89" applyNumberFormat="1" applyFont="1" applyAlignment="1">
      <alignment wrapText="1"/>
    </xf>
    <xf numFmtId="0" fontId="5" fillId="0" borderId="0" xfId="90" applyNumberFormat="1" applyFill="1"/>
    <xf numFmtId="0" fontId="42" fillId="0" borderId="0" xfId="89" applyNumberFormat="1" applyFont="1" applyAlignment="1" applyProtection="1">
      <alignment horizontal="center" vertical="center" wrapText="1"/>
      <protection locked="0"/>
    </xf>
    <xf numFmtId="0" fontId="42" fillId="0" borderId="0" xfId="89" applyNumberFormat="1" applyFont="1" applyAlignment="1" applyProtection="1">
      <alignment horizontal="justify" vertical="center"/>
      <protection locked="0"/>
    </xf>
    <xf numFmtId="0" fontId="16" fillId="0" borderId="0" xfId="0" applyFont="1"/>
    <xf numFmtId="0" fontId="44" fillId="0" borderId="0" xfId="0" applyFont="1"/>
    <xf numFmtId="49" fontId="46" fillId="0" borderId="0" xfId="0" applyNumberFormat="1" applyFont="1" applyAlignment="1">
      <alignment vertical="center"/>
    </xf>
    <xf numFmtId="0" fontId="44" fillId="0" borderId="0" xfId="0" applyFont="1" applyAlignment="1">
      <alignment vertical="center"/>
    </xf>
    <xf numFmtId="0" fontId="46" fillId="0" borderId="0" xfId="0" applyFont="1"/>
    <xf numFmtId="0" fontId="46" fillId="0" borderId="0" xfId="0" applyNumberFormat="1" applyFont="1" applyAlignment="1">
      <alignment horizontal="left" vertical="center"/>
    </xf>
    <xf numFmtId="0" fontId="45" fillId="0" borderId="0" xfId="0" applyFont="1" applyAlignment="1">
      <alignment vertical="center"/>
    </xf>
    <xf numFmtId="0" fontId="44" fillId="0" borderId="0" xfId="0" applyFont="1" applyAlignment="1">
      <alignment horizontal="left"/>
    </xf>
    <xf numFmtId="0" fontId="46" fillId="0" borderId="0" xfId="0" applyFont="1" applyAlignment="1">
      <alignment horizontal="left"/>
    </xf>
    <xf numFmtId="0" fontId="17" fillId="0" borderId="0" xfId="12" applyFont="1" applyAlignment="1">
      <alignment vertical="center"/>
    </xf>
    <xf numFmtId="0" fontId="2" fillId="2" borderId="1" xfId="0" applyFont="1" applyFill="1" applyBorder="1" applyAlignment="1">
      <alignment horizontal="center"/>
    </xf>
    <xf numFmtId="0" fontId="42" fillId="0" borderId="0" xfId="90" applyNumberFormat="1" applyFont="1" applyAlignment="1" applyProtection="1">
      <alignment horizontal="center" vertical="center"/>
      <protection locked="0"/>
    </xf>
    <xf numFmtId="0" fontId="5" fillId="0" borderId="0" xfId="90" applyNumberFormat="1" applyAlignment="1">
      <alignment vertical="center"/>
    </xf>
    <xf numFmtId="177" fontId="36" fillId="0" borderId="0" xfId="93" applyFont="1"/>
    <xf numFmtId="0" fontId="2" fillId="2" borderId="1" xfId="0" applyFont="1" applyFill="1" applyBorder="1" applyAlignment="1">
      <alignment horizontal="center"/>
    </xf>
    <xf numFmtId="0" fontId="2" fillId="2" borderId="1" xfId="0" applyFont="1" applyFill="1" applyBorder="1" applyAlignment="1">
      <alignment horizontal="center"/>
    </xf>
    <xf numFmtId="0" fontId="8" fillId="0" borderId="8" xfId="0" applyFont="1" applyBorder="1"/>
    <xf numFmtId="0" fontId="0" fillId="0" borderId="0" xfId="0" applyBorder="1"/>
    <xf numFmtId="0" fontId="4" fillId="0" borderId="0" xfId="0" applyFont="1" applyFill="1" applyBorder="1"/>
    <xf numFmtId="0" fontId="4" fillId="0" borderId="1" xfId="0" applyFont="1" applyBorder="1" applyAlignment="1">
      <alignment horizontal="center"/>
    </xf>
    <xf numFmtId="0" fontId="4" fillId="0" borderId="1" xfId="0" applyFont="1" applyFill="1" applyBorder="1"/>
    <xf numFmtId="0" fontId="48" fillId="2" borderId="1" xfId="0" applyFont="1" applyFill="1" applyBorder="1"/>
    <xf numFmtId="0" fontId="36" fillId="0" borderId="0" xfId="0" applyFont="1" applyAlignment="1">
      <alignment vertical="center" wrapText="1"/>
    </xf>
    <xf numFmtId="177" fontId="40" fillId="0" borderId="0" xfId="89" quotePrefix="1" applyFont="1" applyBorder="1" applyAlignment="1" applyProtection="1">
      <alignment horizontal="left" vertical="center"/>
      <protection locked="0"/>
    </xf>
    <xf numFmtId="0" fontId="49" fillId="0" borderId="0" xfId="89" applyNumberFormat="1" applyFont="1" applyAlignment="1" applyProtection="1">
      <alignment horizontal="justify" vertical="center" wrapText="1"/>
      <protection locked="0"/>
    </xf>
    <xf numFmtId="49" fontId="14" fillId="0" borderId="1" xfId="12" applyNumberFormat="1" applyFont="1" applyBorder="1" applyAlignment="1">
      <alignment horizontal="center" vertical="center"/>
    </xf>
    <xf numFmtId="0" fontId="2" fillId="0" borderId="0" xfId="0" applyFont="1" applyAlignment="1">
      <alignment wrapText="1"/>
    </xf>
    <xf numFmtId="0" fontId="46" fillId="0" borderId="0" xfId="0" applyFont="1" applyAlignment="1">
      <alignment horizontal="left" wrapText="1"/>
    </xf>
    <xf numFmtId="0" fontId="5" fillId="0" borderId="0" xfId="0" applyFont="1" applyAlignment="1">
      <alignment wrapText="1"/>
    </xf>
    <xf numFmtId="0" fontId="2" fillId="2" borderId="2" xfId="0" applyFont="1" applyFill="1" applyBorder="1" applyAlignment="1">
      <alignment horizontal="center" vertical="center"/>
    </xf>
    <xf numFmtId="0" fontId="0" fillId="2" borderId="1" xfId="0" applyFill="1" applyBorder="1" applyAlignment="1">
      <alignment horizontal="center" vertical="center"/>
    </xf>
    <xf numFmtId="0" fontId="2" fillId="2" borderId="1" xfId="0" applyFont="1" applyFill="1" applyBorder="1" applyAlignment="1">
      <alignment horizontal="center"/>
    </xf>
    <xf numFmtId="0" fontId="4" fillId="2" borderId="1" xfId="0" applyFont="1" applyFill="1" applyBorder="1" applyAlignment="1">
      <alignment horizontal="center" vertical="center" wrapText="1"/>
    </xf>
    <xf numFmtId="0" fontId="0" fillId="0" borderId="1" xfId="0" applyBorder="1" applyAlignment="1">
      <alignment horizontal="center" vertical="center" wrapText="1"/>
    </xf>
    <xf numFmtId="0" fontId="2" fillId="2" borderId="1" xfId="0" applyFont="1" applyFill="1" applyBorder="1" applyAlignment="1">
      <alignment horizontal="center" vertical="center"/>
    </xf>
    <xf numFmtId="0" fontId="4" fillId="2" borderId="9" xfId="0" applyFont="1" applyFill="1" applyBorder="1" applyAlignment="1">
      <alignment horizontal="center" vertical="center" wrapText="1"/>
    </xf>
    <xf numFmtId="0" fontId="0" fillId="0" borderId="8" xfId="0" applyBorder="1" applyAlignment="1">
      <alignment horizontal="center" vertical="center" wrapText="1"/>
    </xf>
  </cellXfs>
  <cellStyles count="95">
    <cellStyle name="Good 2" xfId="14"/>
    <cellStyle name="Normal 10" xfId="2"/>
    <cellStyle name="Normal 11" xfId="3"/>
    <cellStyle name="Normal 12" xfId="4"/>
    <cellStyle name="Normal 12 10" xfId="15"/>
    <cellStyle name="Normal 121" xfId="16"/>
    <cellStyle name="Normal 13" xfId="12"/>
    <cellStyle name="Normal 14" xfId="13"/>
    <cellStyle name="Normal 145" xfId="17"/>
    <cellStyle name="Normal 146" xfId="18"/>
    <cellStyle name="Normal 147" xfId="19"/>
    <cellStyle name="Normal 148" xfId="20"/>
    <cellStyle name="Normal 15" xfId="91"/>
    <cellStyle name="Normal 15 2" xfId="94"/>
    <cellStyle name="Normal 150" xfId="21"/>
    <cellStyle name="Normal 153" xfId="22"/>
    <cellStyle name="Normal 158" xfId="23"/>
    <cellStyle name="Normal 159" xfId="24"/>
    <cellStyle name="Normal 16" xfId="93"/>
    <cellStyle name="Normal 164" xfId="25"/>
    <cellStyle name="Normal 165" xfId="26"/>
    <cellStyle name="Normal 166" xfId="27"/>
    <cellStyle name="Normal 167" xfId="28"/>
    <cellStyle name="Normal 168" xfId="29"/>
    <cellStyle name="Normal 169" xfId="30"/>
    <cellStyle name="Normal 170" xfId="31"/>
    <cellStyle name="Normal 171" xfId="32"/>
    <cellStyle name="Normal 172" xfId="33"/>
    <cellStyle name="Normal 173" xfId="34"/>
    <cellStyle name="Normal 174" xfId="35"/>
    <cellStyle name="Normal 175" xfId="36"/>
    <cellStyle name="Normal 176" xfId="37"/>
    <cellStyle name="Normal 177" xfId="38"/>
    <cellStyle name="Normal 178" xfId="39"/>
    <cellStyle name="Normal 179" xfId="40"/>
    <cellStyle name="Normal 180" xfId="41"/>
    <cellStyle name="Normal 181" xfId="42"/>
    <cellStyle name="Normal 182" xfId="43"/>
    <cellStyle name="Normal 183" xfId="44"/>
    <cellStyle name="Normal 184" xfId="45"/>
    <cellStyle name="Normal 185" xfId="46"/>
    <cellStyle name="Normal 186" xfId="47"/>
    <cellStyle name="Normal 187" xfId="48"/>
    <cellStyle name="Normal 188" xfId="49"/>
    <cellStyle name="Normal 189" xfId="50"/>
    <cellStyle name="Normal 190" xfId="51"/>
    <cellStyle name="Normal 191" xfId="52"/>
    <cellStyle name="Normal 192" xfId="53"/>
    <cellStyle name="Normal 193" xfId="54"/>
    <cellStyle name="Normal 194" xfId="55"/>
    <cellStyle name="Normal 195" xfId="56"/>
    <cellStyle name="Normal 196" xfId="57"/>
    <cellStyle name="Normal 197" xfId="58"/>
    <cellStyle name="Normal 198" xfId="59"/>
    <cellStyle name="Normal 199" xfId="60"/>
    <cellStyle name="Normal 2" xfId="1"/>
    <cellStyle name="Normal 2 2" xfId="92"/>
    <cellStyle name="Normal 2 2 2" xfId="61"/>
    <cellStyle name="Normal 2 3" xfId="62"/>
    <cellStyle name="Normal 200" xfId="63"/>
    <cellStyle name="Normal 201" xfId="64"/>
    <cellStyle name="Normal 202" xfId="65"/>
    <cellStyle name="Normal 203" xfId="66"/>
    <cellStyle name="Normal 204" xfId="67"/>
    <cellStyle name="Normal 205" xfId="68"/>
    <cellStyle name="Normal 206" xfId="69"/>
    <cellStyle name="Normal 207" xfId="70"/>
    <cellStyle name="Normal 208" xfId="71"/>
    <cellStyle name="Normal 209" xfId="72"/>
    <cellStyle name="Normal 210" xfId="73"/>
    <cellStyle name="Normal 211" xfId="74"/>
    <cellStyle name="Normal 212" xfId="75"/>
    <cellStyle name="Normal 3" xfId="5"/>
    <cellStyle name="Normal 4" xfId="6"/>
    <cellStyle name="Normal 5" xfId="7"/>
    <cellStyle name="Normal 51" xfId="76"/>
    <cellStyle name="Normal 6" xfId="8"/>
    <cellStyle name="Normal 7" xfId="9"/>
    <cellStyle name="Normal 7 16" xfId="77"/>
    <cellStyle name="Normal 7 18" xfId="78"/>
    <cellStyle name="Normal 7 2" xfId="79"/>
    <cellStyle name="Normal 7 27" xfId="80"/>
    <cellStyle name="Normal 7 29" xfId="81"/>
    <cellStyle name="Normal 7 3" xfId="82"/>
    <cellStyle name="Normal 7 4" xfId="83"/>
    <cellStyle name="Normal 7 8" xfId="84"/>
    <cellStyle name="Normal 7 8 2 2 2 3" xfId="85"/>
    <cellStyle name="Normal 7 8 6" xfId="86"/>
    <cellStyle name="Normal 8" xfId="10"/>
    <cellStyle name="Normal 9" xfId="11"/>
    <cellStyle name="Normal 95" xfId="87"/>
    <cellStyle name="Normal 96" xfId="88"/>
    <cellStyle name="Normal_80-V0289-1_B" xfId="89"/>
    <cellStyle name="Normal_80-VD450-1_A" xfId="90"/>
    <cellStyle name="常规" xfId="0" builtinId="0"/>
  </cellStyles>
  <dxfs count="6">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strike val="0"/>
        <color rgb="FF00B05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oneCellAnchor>
    <xdr:from>
      <xdr:col>0</xdr:col>
      <xdr:colOff>19050</xdr:colOff>
      <xdr:row>0</xdr:row>
      <xdr:rowOff>28575</xdr:rowOff>
    </xdr:from>
    <xdr:ext cx="1944370" cy="474345"/>
    <xdr:pic>
      <xdr:nvPicPr>
        <xdr:cNvPr id="2" name="Picture 1" descr="C:\Users\rmireles\Desktop\qlogo.GIF.gif">
          <a:extLst>
            <a:ext uri="{FF2B5EF4-FFF2-40B4-BE49-F238E27FC236}">
              <a16:creationId xmlns="" xmlns:a16="http://schemas.microsoft.com/office/drawing/2014/main" id="{00000000-0008-0000-0000-000002000000}"/>
            </a:ext>
          </a:extLst>
        </xdr:cNvPr>
        <xdr:cNvPicPr/>
      </xdr:nvPicPr>
      <xdr:blipFill>
        <a:blip xmlns:r="http://schemas.openxmlformats.org/officeDocument/2006/relationships" r:embed="rId1">
          <a:extLst>
            <a:ext uri="{28A0092B-C50C-407E-A947-70E740481C1C}">
              <a14:useLocalDpi xmlns="" xmlns:a14="http://schemas.microsoft.com/office/drawing/2010/main" val="0"/>
            </a:ext>
          </a:extLst>
        </a:blip>
        <a:srcRect/>
        <a:stretch>
          <a:fillRect/>
        </a:stretch>
      </xdr:blipFill>
      <xdr:spPr bwMode="auto">
        <a:xfrm>
          <a:off x="19050" y="28575"/>
          <a:ext cx="1944370" cy="474345"/>
        </a:xfrm>
        <a:prstGeom prst="rect">
          <a:avLst/>
        </a:prstGeom>
        <a:noFill/>
        <a:ln>
          <a:noFill/>
        </a:ln>
      </xdr:spPr>
    </xdr:pic>
    <xdr:clientData/>
  </xdr:oneCellAnchor>
  <xdr:twoCellAnchor>
    <xdr:from>
      <xdr:col>0</xdr:col>
      <xdr:colOff>47625</xdr:colOff>
      <xdr:row>0</xdr:row>
      <xdr:rowOff>314325</xdr:rowOff>
    </xdr:from>
    <xdr:to>
      <xdr:col>0</xdr:col>
      <xdr:colOff>6362700</xdr:colOff>
      <xdr:row>1</xdr:row>
      <xdr:rowOff>19051</xdr:rowOff>
    </xdr:to>
    <xdr:grpSp>
      <xdr:nvGrpSpPr>
        <xdr:cNvPr id="3" name="Group 2">
          <a:extLst>
            <a:ext uri="{FF2B5EF4-FFF2-40B4-BE49-F238E27FC236}">
              <a16:creationId xmlns="" xmlns:a16="http://schemas.microsoft.com/office/drawing/2014/main" id="{00000000-0008-0000-0000-000003000000}"/>
            </a:ext>
          </a:extLst>
        </xdr:cNvPr>
        <xdr:cNvGrpSpPr/>
      </xdr:nvGrpSpPr>
      <xdr:grpSpPr>
        <a:xfrm>
          <a:off x="47625" y="314325"/>
          <a:ext cx="6315075" cy="1524001"/>
          <a:chOff x="4131" y="466848"/>
          <a:chExt cx="6315407" cy="1524352"/>
        </a:xfrm>
      </xdr:grpSpPr>
      <xdr:sp macro="" textlink="">
        <xdr:nvSpPr>
          <xdr:cNvPr id="4" name="Arc 3">
            <a:extLst>
              <a:ext uri="{FF2B5EF4-FFF2-40B4-BE49-F238E27FC236}">
                <a16:creationId xmlns="" xmlns:a16="http://schemas.microsoft.com/office/drawing/2014/main" id="{00000000-0008-0000-0000-000004000000}"/>
              </a:ext>
            </a:extLst>
          </xdr:cNvPr>
          <xdr:cNvSpPr/>
        </xdr:nvSpPr>
        <xdr:spPr>
          <a:xfrm rot="19589460">
            <a:off x="5350850" y="466848"/>
            <a:ext cx="968688" cy="960434"/>
          </a:xfrm>
          <a:prstGeom prst="arc">
            <a:avLst>
              <a:gd name="adj1" fmla="val 16200000"/>
              <a:gd name="adj2" fmla="val 6521816"/>
            </a:avLst>
          </a:prstGeom>
          <a:ln w="12700">
            <a:solidFill>
              <a:srgbClr val="F7911E"/>
            </a:solidFill>
            <a:prstDash val="sysDash"/>
            <a:tailEnd type="triangle" w="sm" len="sm"/>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nvGrpSpPr>
          <xdr:cNvPr id="5" name="Group 4">
            <a:extLst>
              <a:ext uri="{FF2B5EF4-FFF2-40B4-BE49-F238E27FC236}">
                <a16:creationId xmlns="" xmlns:a16="http://schemas.microsoft.com/office/drawing/2014/main" id="{00000000-0008-0000-0000-000005000000}"/>
              </a:ext>
            </a:extLst>
          </xdr:cNvPr>
          <xdr:cNvGrpSpPr/>
        </xdr:nvGrpSpPr>
        <xdr:grpSpPr>
          <a:xfrm>
            <a:off x="4131" y="564184"/>
            <a:ext cx="6210300" cy="1427016"/>
            <a:chOff x="4131" y="564184"/>
            <a:chExt cx="6210300" cy="1427016"/>
          </a:xfrm>
        </xdr:grpSpPr>
        <xdr:cxnSp macro="">
          <xdr:nvCxnSpPr>
            <xdr:cNvPr id="6" name="Straight Connector 5">
              <a:extLst>
                <a:ext uri="{FF2B5EF4-FFF2-40B4-BE49-F238E27FC236}">
                  <a16:creationId xmlns="" xmlns:a16="http://schemas.microsoft.com/office/drawing/2014/main" id="{00000000-0008-0000-0000-000006000000}"/>
                </a:ext>
              </a:extLst>
            </xdr:cNvPr>
            <xdr:cNvCxnSpPr/>
          </xdr:nvCxnSpPr>
          <xdr:spPr>
            <a:xfrm flipH="1">
              <a:off x="4131" y="954709"/>
              <a:ext cx="5448300" cy="0"/>
            </a:xfrm>
            <a:prstGeom prst="line">
              <a:avLst/>
            </a:prstGeom>
            <a:ln w="12700">
              <a:solidFill>
                <a:srgbClr val="7F7F7F"/>
              </a:solidFill>
            </a:ln>
          </xdr:spPr>
          <xdr:style>
            <a:lnRef idx="1">
              <a:schemeClr val="accent1"/>
            </a:lnRef>
            <a:fillRef idx="0">
              <a:schemeClr val="accent1"/>
            </a:fillRef>
            <a:effectRef idx="0">
              <a:schemeClr val="accent1"/>
            </a:effectRef>
            <a:fontRef idx="minor">
              <a:schemeClr val="tx1"/>
            </a:fontRef>
          </xdr:style>
        </xdr:cxnSp>
        <xdr:grpSp>
          <xdr:nvGrpSpPr>
            <xdr:cNvPr id="7" name="Group 6">
              <a:extLst>
                <a:ext uri="{FF2B5EF4-FFF2-40B4-BE49-F238E27FC236}">
                  <a16:creationId xmlns="" xmlns:a16="http://schemas.microsoft.com/office/drawing/2014/main" id="{00000000-0008-0000-0000-000007000000}"/>
                </a:ext>
              </a:extLst>
            </xdr:cNvPr>
            <xdr:cNvGrpSpPr/>
          </xdr:nvGrpSpPr>
          <xdr:grpSpPr>
            <a:xfrm>
              <a:off x="5452431" y="564184"/>
              <a:ext cx="762000" cy="762000"/>
              <a:chOff x="5452431" y="564184"/>
              <a:chExt cx="762000" cy="762000"/>
            </a:xfrm>
          </xdr:grpSpPr>
          <xdr:sp macro="" textlink="">
            <xdr:nvSpPr>
              <xdr:cNvPr id="30" name="Oval 29">
                <a:extLst>
                  <a:ext uri="{FF2B5EF4-FFF2-40B4-BE49-F238E27FC236}">
                    <a16:creationId xmlns="" xmlns:a16="http://schemas.microsoft.com/office/drawing/2014/main" id="{00000000-0008-0000-0000-00001E000000}"/>
                  </a:ext>
                </a:extLst>
              </xdr:cNvPr>
              <xdr:cNvSpPr/>
            </xdr:nvSpPr>
            <xdr:spPr>
              <a:xfrm>
                <a:off x="5452431" y="564184"/>
                <a:ext cx="762000" cy="762000"/>
              </a:xfrm>
              <a:prstGeom prst="ellipse">
                <a:avLst/>
              </a:prstGeom>
              <a:solidFill>
                <a:schemeClr val="bg1"/>
              </a:solidFill>
              <a:ln w="19050">
                <a:solidFill>
                  <a:srgbClr val="3167A9"/>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1" name="Rounded Rectangle 30">
                <a:extLst>
                  <a:ext uri="{FF2B5EF4-FFF2-40B4-BE49-F238E27FC236}">
                    <a16:creationId xmlns="" xmlns:a16="http://schemas.microsoft.com/office/drawing/2014/main" id="{00000000-0008-0000-0000-00001F000000}"/>
                  </a:ext>
                </a:extLst>
              </xdr:cNvPr>
              <xdr:cNvSpPr/>
            </xdr:nvSpPr>
            <xdr:spPr>
              <a:xfrm rot="21155986">
                <a:off x="5882386" y="879352"/>
                <a:ext cx="124359" cy="42834"/>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2" name="Rounded Rectangle 31">
                <a:extLst>
                  <a:ext uri="{FF2B5EF4-FFF2-40B4-BE49-F238E27FC236}">
                    <a16:creationId xmlns="" xmlns:a16="http://schemas.microsoft.com/office/drawing/2014/main" id="{00000000-0008-0000-0000-000020000000}"/>
                  </a:ext>
                </a:extLst>
              </xdr:cNvPr>
              <xdr:cNvSpPr/>
            </xdr:nvSpPr>
            <xdr:spPr>
              <a:xfrm rot="18804054">
                <a:off x="5818032" y="817795"/>
                <a:ext cx="124390" cy="428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3" name="Rounded Rectangle 32">
                <a:extLst>
                  <a:ext uri="{FF2B5EF4-FFF2-40B4-BE49-F238E27FC236}">
                    <a16:creationId xmlns="" xmlns:a16="http://schemas.microsoft.com/office/drawing/2014/main" id="{00000000-0008-0000-0000-000021000000}"/>
                  </a:ext>
                </a:extLst>
              </xdr:cNvPr>
              <xdr:cNvSpPr/>
            </xdr:nvSpPr>
            <xdr:spPr>
              <a:xfrm rot="16200000">
                <a:off x="5724425" y="814479"/>
                <a:ext cx="124390" cy="428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4" name="Rounded Rectangle 33">
                <a:extLst>
                  <a:ext uri="{FF2B5EF4-FFF2-40B4-BE49-F238E27FC236}">
                    <a16:creationId xmlns="" xmlns:a16="http://schemas.microsoft.com/office/drawing/2014/main" id="{00000000-0008-0000-0000-000022000000}"/>
                  </a:ext>
                </a:extLst>
              </xdr:cNvPr>
              <xdr:cNvSpPr/>
            </xdr:nvSpPr>
            <xdr:spPr>
              <a:xfrm rot="13531193">
                <a:off x="5656359" y="887240"/>
                <a:ext cx="124360" cy="4282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5" name="Rounded Rectangle 34">
                <a:extLst>
                  <a:ext uri="{FF2B5EF4-FFF2-40B4-BE49-F238E27FC236}">
                    <a16:creationId xmlns="" xmlns:a16="http://schemas.microsoft.com/office/drawing/2014/main" id="{00000000-0008-0000-0000-000023000000}"/>
                  </a:ext>
                </a:extLst>
              </xdr:cNvPr>
              <xdr:cNvSpPr/>
            </xdr:nvSpPr>
            <xdr:spPr>
              <a:xfrm rot="13422697">
                <a:off x="5884887" y="973270"/>
                <a:ext cx="124359" cy="4282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6" name="Rounded Rectangle 35">
                <a:extLst>
                  <a:ext uri="{FF2B5EF4-FFF2-40B4-BE49-F238E27FC236}">
                    <a16:creationId xmlns="" xmlns:a16="http://schemas.microsoft.com/office/drawing/2014/main" id="{00000000-0008-0000-0000-000024000000}"/>
                  </a:ext>
                </a:extLst>
              </xdr:cNvPr>
              <xdr:cNvSpPr/>
            </xdr:nvSpPr>
            <xdr:spPr>
              <a:xfrm rot="16486796">
                <a:off x="5818550" y="1036114"/>
                <a:ext cx="124390" cy="428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7" name="Rounded Rectangle 36">
                <a:extLst>
                  <a:ext uri="{FF2B5EF4-FFF2-40B4-BE49-F238E27FC236}">
                    <a16:creationId xmlns="" xmlns:a16="http://schemas.microsoft.com/office/drawing/2014/main" id="{00000000-0008-0000-0000-000025000000}"/>
                  </a:ext>
                </a:extLst>
              </xdr:cNvPr>
              <xdr:cNvSpPr/>
            </xdr:nvSpPr>
            <xdr:spPr>
              <a:xfrm rot="18880232">
                <a:off x="5728330" y="1042462"/>
                <a:ext cx="124390" cy="428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8" name="Rounded Rectangle 37">
                <a:extLst>
                  <a:ext uri="{FF2B5EF4-FFF2-40B4-BE49-F238E27FC236}">
                    <a16:creationId xmlns="" xmlns:a16="http://schemas.microsoft.com/office/drawing/2014/main" id="{00000000-0008-0000-0000-000026000000}"/>
                  </a:ext>
                </a:extLst>
              </xdr:cNvPr>
              <xdr:cNvSpPr/>
            </xdr:nvSpPr>
            <xdr:spPr>
              <a:xfrm rot="21415589">
                <a:off x="5662760" y="980906"/>
                <a:ext cx="124359" cy="4282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nvGrpSpPr>
            <xdr:cNvPr id="8" name="Group 7">
              <a:extLst>
                <a:ext uri="{FF2B5EF4-FFF2-40B4-BE49-F238E27FC236}">
                  <a16:creationId xmlns="" xmlns:a16="http://schemas.microsoft.com/office/drawing/2014/main" id="{00000000-0008-0000-0000-000008000000}"/>
                </a:ext>
              </a:extLst>
            </xdr:cNvPr>
            <xdr:cNvGrpSpPr/>
          </xdr:nvGrpSpPr>
          <xdr:grpSpPr>
            <a:xfrm>
              <a:off x="4788974" y="1166666"/>
              <a:ext cx="692536" cy="686632"/>
              <a:chOff x="4788974" y="1166666"/>
              <a:chExt cx="692536" cy="686632"/>
            </a:xfrm>
          </xdr:grpSpPr>
          <xdr:sp macro="" textlink="">
            <xdr:nvSpPr>
              <xdr:cNvPr id="20" name="Oval 19">
                <a:extLst>
                  <a:ext uri="{FF2B5EF4-FFF2-40B4-BE49-F238E27FC236}">
                    <a16:creationId xmlns="" xmlns:a16="http://schemas.microsoft.com/office/drawing/2014/main" id="{00000000-0008-0000-0000-000014000000}"/>
                  </a:ext>
                </a:extLst>
              </xdr:cNvPr>
              <xdr:cNvSpPr/>
            </xdr:nvSpPr>
            <xdr:spPr>
              <a:xfrm rot="14809238">
                <a:off x="4881082" y="1256662"/>
                <a:ext cx="519909" cy="519907"/>
              </a:xfrm>
              <a:prstGeom prst="ellipse">
                <a:avLst/>
              </a:prstGeom>
              <a:solidFill>
                <a:schemeClr val="bg1"/>
              </a:solidFill>
              <a:ln w="19050">
                <a:solidFill>
                  <a:srgbClr val="3167A9"/>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1" name="Arc 20">
                <a:extLst>
                  <a:ext uri="{FF2B5EF4-FFF2-40B4-BE49-F238E27FC236}">
                    <a16:creationId xmlns="" xmlns:a16="http://schemas.microsoft.com/office/drawing/2014/main" id="{00000000-0008-0000-0000-000015000000}"/>
                  </a:ext>
                </a:extLst>
              </xdr:cNvPr>
              <xdr:cNvSpPr/>
            </xdr:nvSpPr>
            <xdr:spPr>
              <a:xfrm rot="12798698">
                <a:off x="4788974" y="1166666"/>
                <a:ext cx="692536" cy="686632"/>
              </a:xfrm>
              <a:prstGeom prst="arc">
                <a:avLst>
                  <a:gd name="adj1" fmla="val 16200000"/>
                  <a:gd name="adj2" fmla="val 6521816"/>
                </a:avLst>
              </a:prstGeom>
              <a:ln w="12700">
                <a:solidFill>
                  <a:srgbClr val="F7911E"/>
                </a:solidFill>
                <a:prstDash val="sysDash"/>
                <a:tailEnd type="triangle" w="sm" len="sm"/>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2" name="Rounded Rectangle 21">
                <a:extLst>
                  <a:ext uri="{FF2B5EF4-FFF2-40B4-BE49-F238E27FC236}">
                    <a16:creationId xmlns="" xmlns:a16="http://schemas.microsoft.com/office/drawing/2014/main" id="{00000000-0008-0000-0000-000016000000}"/>
                  </a:ext>
                </a:extLst>
              </xdr:cNvPr>
              <xdr:cNvSpPr/>
            </xdr:nvSpPr>
            <xdr:spPr>
              <a:xfrm rot="21155986">
                <a:off x="5169919" y="1471123"/>
                <a:ext cx="80507" cy="27717"/>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3" name="Rounded Rectangle 22">
                <a:extLst>
                  <a:ext uri="{FF2B5EF4-FFF2-40B4-BE49-F238E27FC236}">
                    <a16:creationId xmlns="" xmlns:a16="http://schemas.microsoft.com/office/drawing/2014/main" id="{00000000-0008-0000-0000-000017000000}"/>
                  </a:ext>
                </a:extLst>
              </xdr:cNvPr>
              <xdr:cNvSpPr/>
            </xdr:nvSpPr>
            <xdr:spPr>
              <a:xfrm rot="18804054">
                <a:off x="5128277" y="1431285"/>
                <a:ext cx="80489" cy="27716"/>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4" name="Rounded Rectangle 23">
                <a:extLst>
                  <a:ext uri="{FF2B5EF4-FFF2-40B4-BE49-F238E27FC236}">
                    <a16:creationId xmlns="" xmlns:a16="http://schemas.microsoft.com/office/drawing/2014/main" id="{00000000-0008-0000-0000-000018000000}"/>
                  </a:ext>
                </a:extLst>
              </xdr:cNvPr>
              <xdr:cNvSpPr/>
            </xdr:nvSpPr>
            <xdr:spPr>
              <a:xfrm rot="16200000">
                <a:off x="5067678" y="1429139"/>
                <a:ext cx="80489" cy="27716"/>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5" name="Rounded Rectangle 24">
                <a:extLst>
                  <a:ext uri="{FF2B5EF4-FFF2-40B4-BE49-F238E27FC236}">
                    <a16:creationId xmlns="" xmlns:a16="http://schemas.microsoft.com/office/drawing/2014/main" id="{00000000-0008-0000-0000-000019000000}"/>
                  </a:ext>
                </a:extLst>
              </xdr:cNvPr>
              <xdr:cNvSpPr/>
            </xdr:nvSpPr>
            <xdr:spPr>
              <a:xfrm rot="13531193">
                <a:off x="5023614" y="1476220"/>
                <a:ext cx="80469" cy="2772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6" name="Rounded Rectangle 25">
                <a:extLst>
                  <a:ext uri="{FF2B5EF4-FFF2-40B4-BE49-F238E27FC236}">
                    <a16:creationId xmlns="" xmlns:a16="http://schemas.microsoft.com/office/drawing/2014/main" id="{00000000-0008-0000-0000-00001A000000}"/>
                  </a:ext>
                </a:extLst>
              </xdr:cNvPr>
              <xdr:cNvSpPr/>
            </xdr:nvSpPr>
            <xdr:spPr>
              <a:xfrm rot="13422697">
                <a:off x="5171538" y="1531895"/>
                <a:ext cx="80507" cy="27709"/>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7" name="Rounded Rectangle 26">
                <a:extLst>
                  <a:ext uri="{FF2B5EF4-FFF2-40B4-BE49-F238E27FC236}">
                    <a16:creationId xmlns="" xmlns:a16="http://schemas.microsoft.com/office/drawing/2014/main" id="{00000000-0008-0000-0000-00001B000000}"/>
                  </a:ext>
                </a:extLst>
              </xdr:cNvPr>
              <xdr:cNvSpPr/>
            </xdr:nvSpPr>
            <xdr:spPr>
              <a:xfrm rot="16486796">
                <a:off x="5128612" y="1572553"/>
                <a:ext cx="80489" cy="27716"/>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8" name="Rounded Rectangle 27">
                <a:extLst>
                  <a:ext uri="{FF2B5EF4-FFF2-40B4-BE49-F238E27FC236}">
                    <a16:creationId xmlns="" xmlns:a16="http://schemas.microsoft.com/office/drawing/2014/main" id="{00000000-0008-0000-0000-00001C000000}"/>
                  </a:ext>
                </a:extLst>
              </xdr:cNvPr>
              <xdr:cNvSpPr/>
            </xdr:nvSpPr>
            <xdr:spPr>
              <a:xfrm rot="18880232">
                <a:off x="5070206" y="1576660"/>
                <a:ext cx="80489" cy="27716"/>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9" name="Rounded Rectangle 28">
                <a:extLst>
                  <a:ext uri="{FF2B5EF4-FFF2-40B4-BE49-F238E27FC236}">
                    <a16:creationId xmlns="" xmlns:a16="http://schemas.microsoft.com/office/drawing/2014/main" id="{00000000-0008-0000-0000-00001D000000}"/>
                  </a:ext>
                </a:extLst>
              </xdr:cNvPr>
              <xdr:cNvSpPr/>
            </xdr:nvSpPr>
            <xdr:spPr>
              <a:xfrm rot="21415589">
                <a:off x="5027739" y="1536836"/>
                <a:ext cx="80507" cy="27709"/>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nvGrpSpPr>
            <xdr:cNvPr id="9" name="Group 8">
              <a:extLst>
                <a:ext uri="{FF2B5EF4-FFF2-40B4-BE49-F238E27FC236}">
                  <a16:creationId xmlns="" xmlns:a16="http://schemas.microsoft.com/office/drawing/2014/main" id="{00000000-0008-0000-0000-000009000000}"/>
                </a:ext>
              </a:extLst>
            </xdr:cNvPr>
            <xdr:cNvGrpSpPr/>
          </xdr:nvGrpSpPr>
          <xdr:grpSpPr>
            <a:xfrm>
              <a:off x="5603460" y="1501621"/>
              <a:ext cx="485537" cy="489579"/>
              <a:chOff x="5603460" y="1501621"/>
              <a:chExt cx="485537" cy="489579"/>
            </a:xfrm>
          </xdr:grpSpPr>
          <xdr:sp macro="" textlink="">
            <xdr:nvSpPr>
              <xdr:cNvPr id="10" name="Oval 9">
                <a:extLst>
                  <a:ext uri="{FF2B5EF4-FFF2-40B4-BE49-F238E27FC236}">
                    <a16:creationId xmlns="" xmlns:a16="http://schemas.microsoft.com/office/drawing/2014/main" id="{00000000-0008-0000-0000-00000A000000}"/>
                  </a:ext>
                </a:extLst>
              </xdr:cNvPr>
              <xdr:cNvSpPr/>
            </xdr:nvSpPr>
            <xdr:spPr>
              <a:xfrm rot="18618547">
                <a:off x="5664536" y="1565433"/>
                <a:ext cx="362911" cy="363006"/>
              </a:xfrm>
              <a:prstGeom prst="ellipse">
                <a:avLst/>
              </a:prstGeom>
              <a:solidFill>
                <a:schemeClr val="bg1"/>
              </a:solidFill>
              <a:ln w="19050">
                <a:solidFill>
                  <a:srgbClr val="3167A9"/>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1" name="Arc 10">
                <a:extLst>
                  <a:ext uri="{FF2B5EF4-FFF2-40B4-BE49-F238E27FC236}">
                    <a16:creationId xmlns="" xmlns:a16="http://schemas.microsoft.com/office/drawing/2014/main" id="{00000000-0008-0000-0000-00000B000000}"/>
                  </a:ext>
                </a:extLst>
              </xdr:cNvPr>
              <xdr:cNvSpPr/>
            </xdr:nvSpPr>
            <xdr:spPr>
              <a:xfrm rot="16608007">
                <a:off x="5601439" y="1503642"/>
                <a:ext cx="489579" cy="485537"/>
              </a:xfrm>
              <a:prstGeom prst="arc">
                <a:avLst>
                  <a:gd name="adj1" fmla="val 16200000"/>
                  <a:gd name="adj2" fmla="val 6521816"/>
                </a:avLst>
              </a:prstGeom>
              <a:ln w="12700">
                <a:solidFill>
                  <a:srgbClr val="F7911E"/>
                </a:solidFill>
                <a:prstDash val="sysDash"/>
                <a:tailEnd type="triangle" w="sm" len="sm"/>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2" name="Rounded Rectangle 11">
                <a:extLst>
                  <a:ext uri="{FF2B5EF4-FFF2-40B4-BE49-F238E27FC236}">
                    <a16:creationId xmlns="" xmlns:a16="http://schemas.microsoft.com/office/drawing/2014/main" id="{00000000-0008-0000-0000-00000C000000}"/>
                  </a:ext>
                </a:extLst>
              </xdr:cNvPr>
              <xdr:cNvSpPr/>
            </xdr:nvSpPr>
            <xdr:spPr>
              <a:xfrm rot="21155986">
                <a:off x="5856691" y="1721316"/>
                <a:ext cx="58117" cy="2001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3" name="Rounded Rectangle 12">
                <a:extLst>
                  <a:ext uri="{FF2B5EF4-FFF2-40B4-BE49-F238E27FC236}">
                    <a16:creationId xmlns="" xmlns:a16="http://schemas.microsoft.com/office/drawing/2014/main" id="{00000000-0008-0000-0000-00000D000000}"/>
                  </a:ext>
                </a:extLst>
              </xdr:cNvPr>
              <xdr:cNvSpPr/>
            </xdr:nvSpPr>
            <xdr:spPr>
              <a:xfrm rot="18804054">
                <a:off x="5826617" y="1692549"/>
                <a:ext cx="58131" cy="2000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 name="Rounded Rectangle 13">
                <a:extLst>
                  <a:ext uri="{FF2B5EF4-FFF2-40B4-BE49-F238E27FC236}">
                    <a16:creationId xmlns="" xmlns:a16="http://schemas.microsoft.com/office/drawing/2014/main" id="{00000000-0008-0000-0000-00000E000000}"/>
                  </a:ext>
                </a:extLst>
              </xdr:cNvPr>
              <xdr:cNvSpPr/>
            </xdr:nvSpPr>
            <xdr:spPr>
              <a:xfrm rot="16200000">
                <a:off x="5782871" y="1690999"/>
                <a:ext cx="58131" cy="2000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5" name="Rounded Rectangle 14">
                <a:extLst>
                  <a:ext uri="{FF2B5EF4-FFF2-40B4-BE49-F238E27FC236}">
                    <a16:creationId xmlns="" xmlns:a16="http://schemas.microsoft.com/office/drawing/2014/main" id="{00000000-0008-0000-0000-00000F000000}"/>
                  </a:ext>
                </a:extLst>
              </xdr:cNvPr>
              <xdr:cNvSpPr/>
            </xdr:nvSpPr>
            <xdr:spPr>
              <a:xfrm rot="13531193">
                <a:off x="5751062" y="1725002"/>
                <a:ext cx="58117" cy="200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6" name="Rounded Rectangle 15">
                <a:extLst>
                  <a:ext uri="{FF2B5EF4-FFF2-40B4-BE49-F238E27FC236}">
                    <a16:creationId xmlns="" xmlns:a16="http://schemas.microsoft.com/office/drawing/2014/main" id="{00000000-0008-0000-0000-000010000000}"/>
                  </a:ext>
                </a:extLst>
              </xdr:cNvPr>
              <xdr:cNvSpPr/>
            </xdr:nvSpPr>
            <xdr:spPr>
              <a:xfrm rot="13422697">
                <a:off x="5857860" y="1765207"/>
                <a:ext cx="58117" cy="2001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7" name="Rounded Rectangle 16">
                <a:extLst>
                  <a:ext uri="{FF2B5EF4-FFF2-40B4-BE49-F238E27FC236}">
                    <a16:creationId xmlns="" xmlns:a16="http://schemas.microsoft.com/office/drawing/2014/main" id="{00000000-0008-0000-0000-000011000000}"/>
                  </a:ext>
                </a:extLst>
              </xdr:cNvPr>
              <xdr:cNvSpPr/>
            </xdr:nvSpPr>
            <xdr:spPr>
              <a:xfrm rot="16486796">
                <a:off x="5826859" y="1794576"/>
                <a:ext cx="58131" cy="2000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8" name="Rounded Rectangle 17">
                <a:extLst>
                  <a:ext uri="{FF2B5EF4-FFF2-40B4-BE49-F238E27FC236}">
                    <a16:creationId xmlns="" xmlns:a16="http://schemas.microsoft.com/office/drawing/2014/main" id="{00000000-0008-0000-0000-000012000000}"/>
                  </a:ext>
                </a:extLst>
              </xdr:cNvPr>
              <xdr:cNvSpPr/>
            </xdr:nvSpPr>
            <xdr:spPr>
              <a:xfrm rot="18880232">
                <a:off x="5784696" y="1797543"/>
                <a:ext cx="58131" cy="2000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9" name="Rounded Rectangle 18">
                <a:extLst>
                  <a:ext uri="{FF2B5EF4-FFF2-40B4-BE49-F238E27FC236}">
                    <a16:creationId xmlns="" xmlns:a16="http://schemas.microsoft.com/office/drawing/2014/main" id="{00000000-0008-0000-0000-000013000000}"/>
                  </a:ext>
                </a:extLst>
              </xdr:cNvPr>
              <xdr:cNvSpPr/>
            </xdr:nvSpPr>
            <xdr:spPr>
              <a:xfrm rot="21415589">
                <a:off x="5754053" y="1768776"/>
                <a:ext cx="58117" cy="2001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grpSp>
    <xdr:clientData/>
  </xdr:twoCellAnchor>
  <xdr:twoCellAnchor editAs="oneCell">
    <xdr:from>
      <xdr:col>0</xdr:col>
      <xdr:colOff>28575</xdr:colOff>
      <xdr:row>0</xdr:row>
      <xdr:rowOff>57150</xdr:rowOff>
    </xdr:from>
    <xdr:to>
      <xdr:col>0</xdr:col>
      <xdr:colOff>3499486</xdr:colOff>
      <xdr:row>0</xdr:row>
      <xdr:rowOff>468630</xdr:rowOff>
    </xdr:to>
    <xdr:pic>
      <xdr:nvPicPr>
        <xdr:cNvPr id="39" name="Picture 38">
          <a:extLst>
            <a:ext uri="{FF2B5EF4-FFF2-40B4-BE49-F238E27FC236}">
              <a16:creationId xmlns="" xmlns:a16="http://schemas.microsoft.com/office/drawing/2014/main" id="{A8639EF5-C03B-4D2B-AD67-B2842BBB86A1}"/>
            </a:ext>
          </a:extLst>
        </xdr:cNvPr>
        <xdr:cNvPicPr>
          <a:picLocks noChangeAspect="1"/>
        </xdr:cNvPicPr>
      </xdr:nvPicPr>
      <xdr:blipFill rotWithShape="1">
        <a:blip xmlns:r="http://schemas.openxmlformats.org/officeDocument/2006/relationships" r:embed="rId2" cstate="print">
          <a:extLst>
            <a:ext uri="{28A0092B-C50C-407E-A947-70E740481C1C}">
              <a14:useLocalDpi xmlns="" xmlns:a14="http://schemas.microsoft.com/office/drawing/2010/main" val="0"/>
            </a:ext>
          </a:extLst>
        </a:blip>
        <a:srcRect l="7008" t="28913" r="6723" b="25832"/>
        <a:stretch/>
      </xdr:blipFill>
      <xdr:spPr>
        <a:xfrm>
          <a:off x="28575" y="57150"/>
          <a:ext cx="3470911" cy="4114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dubois\80-nh713-1_j2\Dropbox\DSI_Related_Docs\Display_Files\Nazgul\PHY_Timing_Debug\80-NH713-1_F_DSI_Timing_Parameters_edited_revGZ_PHY_1000210_4ln_100Mbps_Kit_Update.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Cover"/>
      <sheetName val="Inside Cover"/>
      <sheetName val="Rev. History"/>
      <sheetName val="User Instructions"/>
      <sheetName val="DSI and MDP registers"/>
      <sheetName val="DSI PHY timing setting"/>
      <sheetName val="DSI PHY 2.0.0 timing setting"/>
      <sheetName val="DSI PHY 3.0.0 DPHY timing"/>
      <sheetName val="DSI PHY 3.0.0 CPHY timing"/>
    </sheetNames>
    <sheetDataSet>
      <sheetData sheetId="0" refreshError="1"/>
      <sheetData sheetId="1" refreshError="1"/>
      <sheetData sheetId="2" refreshError="1"/>
      <sheetData sheetId="3" refreshError="1"/>
      <sheetData sheetId="4" refreshError="1">
        <row r="21">
          <cell r="C21">
            <v>19.2</v>
          </cell>
        </row>
        <row r="25">
          <cell r="C25">
            <v>1</v>
          </cell>
        </row>
        <row r="28">
          <cell r="C28">
            <v>0</v>
          </cell>
        </row>
      </sheetData>
      <sheetData sheetId="5" refreshError="1"/>
      <sheetData sheetId="6" refreshError="1"/>
      <sheetData sheetId="7" refreshError="1"/>
      <sheetData sheetId="8"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sheetPr codeName="Sheet7"/>
  <dimension ref="A1:Z25"/>
  <sheetViews>
    <sheetView zoomScaleSheetLayoutView="100" workbookViewId="0">
      <selection activeCell="A20" sqref="A20"/>
    </sheetView>
  </sheetViews>
  <sheetFormatPr defaultColWidth="9.140625" defaultRowHeight="12.75"/>
  <cols>
    <col min="1" max="1" width="97.140625" style="97" customWidth="1"/>
    <col min="2" max="2" width="10" style="96" customWidth="1"/>
    <col min="3" max="7" width="9.140625" style="96" customWidth="1"/>
    <col min="8" max="16384" width="9.140625" style="96"/>
  </cols>
  <sheetData>
    <row r="1" spans="1:26" ht="143.25" customHeight="1">
      <c r="A1" s="131"/>
      <c r="B1" s="106"/>
      <c r="C1" s="105"/>
      <c r="D1" s="104"/>
      <c r="E1" s="104"/>
      <c r="F1" s="104"/>
      <c r="G1" s="104"/>
    </row>
    <row r="2" spans="1:26" ht="114.75" customHeight="1">
      <c r="A2" s="91" t="s">
        <v>110</v>
      </c>
      <c r="B2" s="103"/>
      <c r="C2" s="102"/>
      <c r="Z2" s="101"/>
    </row>
    <row r="3" spans="1:26" s="98" customFormat="1" ht="29.25" customHeight="1">
      <c r="A3" s="92" t="s">
        <v>111</v>
      </c>
      <c r="G3" s="100"/>
    </row>
    <row r="4" spans="1:26" s="98" customFormat="1" ht="27" customHeight="1">
      <c r="A4" s="93" t="s">
        <v>291</v>
      </c>
      <c r="B4" s="99"/>
    </row>
    <row r="5" spans="1:26" s="98" customFormat="1" ht="27" customHeight="1">
      <c r="A5" s="132" t="s">
        <v>298</v>
      </c>
      <c r="B5" s="122"/>
    </row>
    <row r="6" spans="1:26" s="98" customFormat="1" ht="148.5" customHeight="1">
      <c r="A6" s="94" t="s">
        <v>112</v>
      </c>
    </row>
    <row r="7" spans="1:26" s="98" customFormat="1" ht="30" customHeight="1">
      <c r="A7" s="108" t="s">
        <v>283</v>
      </c>
    </row>
    <row r="8" spans="1:26" s="98" customFormat="1" ht="30" customHeight="1">
      <c r="A8" s="133" t="s">
        <v>284</v>
      </c>
    </row>
    <row r="9" spans="1:26" s="98" customFormat="1" ht="30" customHeight="1">
      <c r="A9" s="95" t="s">
        <v>154</v>
      </c>
    </row>
    <row r="10" spans="1:26" s="98" customFormat="1" ht="30" customHeight="1">
      <c r="A10" s="95" t="s">
        <v>296</v>
      </c>
    </row>
    <row r="11" spans="1:26" s="121" customFormat="1" ht="40.5" customHeight="1">
      <c r="A11" s="95" t="s">
        <v>222</v>
      </c>
    </row>
    <row r="12" spans="1:26" s="121" customFormat="1" ht="30" customHeight="1">
      <c r="A12" s="108" t="s">
        <v>155</v>
      </c>
    </row>
    <row r="13" spans="1:26" ht="45">
      <c r="A13" s="107" t="s">
        <v>101</v>
      </c>
    </row>
    <row r="14" spans="1:26">
      <c r="A14" s="120" t="s">
        <v>299</v>
      </c>
    </row>
    <row r="15" spans="1:26" ht="13.5" customHeight="1"/>
    <row r="21" ht="12.75" customHeight="1"/>
    <row r="22" ht="12.75" customHeight="1"/>
    <row r="25" ht="12.75" customHeight="1"/>
  </sheetData>
  <phoneticPr fontId="51" type="noConversion"/>
  <pageMargins left="0.75" right="0.75" top="0.5" bottom="0.5" header="0.5" footer="0.5"/>
  <pageSetup fitToHeight="0" orientation="portrait" r:id="rId1"/>
  <headerFooter scaleWithDoc="0" alignWithMargins="0">
    <oddHeader>&amp;R&amp;8</oddHeader>
    <oddFooter>&amp;L&amp;8&amp;C&amp;8&amp;R&amp;8</oddFooter>
  </headerFooter>
  <drawing r:id="rId2"/>
</worksheet>
</file>

<file path=xl/worksheets/sheet2.xml><?xml version="1.0" encoding="utf-8"?>
<worksheet xmlns="http://schemas.openxmlformats.org/spreadsheetml/2006/main" xmlns:r="http://schemas.openxmlformats.org/officeDocument/2006/relationships">
  <sheetPr codeName="Sheet4">
    <pageSetUpPr fitToPage="1"/>
  </sheetPr>
  <dimension ref="A1:E20"/>
  <sheetViews>
    <sheetView showGridLines="0" topLeftCell="A2" zoomScaleSheetLayoutView="85" zoomScalePageLayoutView="40" workbookViewId="0">
      <selection activeCell="I19" sqref="I19"/>
    </sheetView>
  </sheetViews>
  <sheetFormatPr defaultColWidth="9.140625" defaultRowHeight="15.95" customHeight="1"/>
  <cols>
    <col min="1" max="2" width="3.28515625" style="32" customWidth="1"/>
    <col min="3" max="3" width="9.140625" style="32"/>
    <col min="4" max="4" width="16" style="32" customWidth="1"/>
    <col min="5" max="5" width="84" style="32" customWidth="1"/>
    <col min="6" max="16384" width="9.140625" style="32"/>
  </cols>
  <sheetData>
    <row r="1" spans="1:5" ht="24.75" customHeight="1">
      <c r="A1" s="118" t="s">
        <v>107</v>
      </c>
      <c r="B1" s="118"/>
    </row>
    <row r="2" spans="1:5" ht="15.95" customHeight="1">
      <c r="A2" s="38"/>
      <c r="B2" s="38"/>
      <c r="C2" s="38"/>
      <c r="D2" s="38"/>
    </row>
    <row r="3" spans="1:5" ht="20.100000000000001" customHeight="1" thickBot="1">
      <c r="A3" s="37"/>
      <c r="B3" s="37"/>
      <c r="C3" s="36" t="s">
        <v>106</v>
      </c>
      <c r="D3" s="35" t="s">
        <v>105</v>
      </c>
      <c r="E3" s="35" t="s">
        <v>104</v>
      </c>
    </row>
    <row r="4" spans="1:5" ht="15.95" customHeight="1">
      <c r="C4" s="34" t="s">
        <v>103</v>
      </c>
      <c r="D4" s="78">
        <v>41456</v>
      </c>
      <c r="E4" s="33" t="s">
        <v>102</v>
      </c>
    </row>
    <row r="5" spans="1:5" ht="15.95" customHeight="1">
      <c r="C5" s="73" t="s">
        <v>137</v>
      </c>
      <c r="D5" s="79" t="s">
        <v>309</v>
      </c>
      <c r="E5" s="72" t="s">
        <v>138</v>
      </c>
    </row>
    <row r="6" spans="1:5" ht="15.95" customHeight="1">
      <c r="C6" s="73" t="s">
        <v>139</v>
      </c>
      <c r="D6" s="80" t="s">
        <v>310</v>
      </c>
      <c r="E6" s="72" t="s">
        <v>300</v>
      </c>
    </row>
    <row r="7" spans="1:5" ht="15.95" customHeight="1">
      <c r="C7" s="73" t="s">
        <v>192</v>
      </c>
      <c r="D7" s="80" t="s">
        <v>193</v>
      </c>
      <c r="E7" s="72" t="s">
        <v>301</v>
      </c>
    </row>
    <row r="8" spans="1:5" ht="15.95" customHeight="1">
      <c r="C8" s="73" t="s">
        <v>194</v>
      </c>
      <c r="D8" s="80" t="s">
        <v>311</v>
      </c>
      <c r="E8" s="72" t="s">
        <v>302</v>
      </c>
    </row>
    <row r="9" spans="1:5" ht="27.75" customHeight="1">
      <c r="C9" s="73" t="s">
        <v>195</v>
      </c>
      <c r="D9" s="80" t="s">
        <v>196</v>
      </c>
      <c r="E9" s="90" t="s">
        <v>303</v>
      </c>
    </row>
    <row r="10" spans="1:5" ht="15.95" customHeight="1">
      <c r="C10" s="73" t="s">
        <v>217</v>
      </c>
      <c r="D10" s="80" t="s">
        <v>312</v>
      </c>
      <c r="E10" s="90" t="s">
        <v>218</v>
      </c>
    </row>
    <row r="11" spans="1:5" ht="15.95" customHeight="1">
      <c r="C11" s="73" t="s">
        <v>243</v>
      </c>
      <c r="D11" s="80" t="s">
        <v>313</v>
      </c>
      <c r="E11" s="90" t="s">
        <v>304</v>
      </c>
    </row>
    <row r="12" spans="1:5" ht="15.95" customHeight="1">
      <c r="C12" s="73" t="s">
        <v>248</v>
      </c>
      <c r="D12" s="80" t="s">
        <v>314</v>
      </c>
      <c r="E12" s="90" t="s">
        <v>305</v>
      </c>
    </row>
    <row r="13" spans="1:5" ht="15.95" customHeight="1">
      <c r="C13" s="73" t="s">
        <v>250</v>
      </c>
      <c r="D13" s="80" t="s">
        <v>315</v>
      </c>
      <c r="E13" s="90" t="s">
        <v>306</v>
      </c>
    </row>
    <row r="14" spans="1:5" ht="15.95" customHeight="1">
      <c r="C14" s="73" t="s">
        <v>251</v>
      </c>
      <c r="D14" s="80" t="s">
        <v>252</v>
      </c>
      <c r="E14" s="90" t="s">
        <v>253</v>
      </c>
    </row>
    <row r="15" spans="1:5" ht="15.95" customHeight="1">
      <c r="C15" s="73" t="s">
        <v>254</v>
      </c>
      <c r="D15" s="80" t="s">
        <v>255</v>
      </c>
      <c r="E15" s="90" t="s">
        <v>256</v>
      </c>
    </row>
    <row r="16" spans="1:5" ht="23.25" customHeight="1">
      <c r="C16" s="73" t="s">
        <v>260</v>
      </c>
      <c r="D16" s="80" t="s">
        <v>285</v>
      </c>
      <c r="E16" s="72" t="s">
        <v>286</v>
      </c>
    </row>
    <row r="17" spans="3:5" ht="15.95" customHeight="1">
      <c r="C17" s="73" t="s">
        <v>282</v>
      </c>
      <c r="D17" s="134" t="s">
        <v>287</v>
      </c>
      <c r="E17" s="72" t="s">
        <v>307</v>
      </c>
    </row>
    <row r="18" spans="3:5" ht="33.75" customHeight="1">
      <c r="C18" s="73" t="s">
        <v>290</v>
      </c>
      <c r="D18" s="134" t="s">
        <v>288</v>
      </c>
      <c r="E18" s="90" t="s">
        <v>308</v>
      </c>
    </row>
    <row r="20" spans="3:5" ht="15.95" customHeight="1">
      <c r="C20" s="32" t="s">
        <v>289</v>
      </c>
    </row>
  </sheetData>
  <phoneticPr fontId="51" type="noConversion"/>
  <pageMargins left="0.75" right="0.75" top="0.5" bottom="0.5" header="0.3" footer="0.3"/>
  <pageSetup scale="83" firstPageNumber="2" fitToHeight="0" orientation="portrait" r:id="rId1"/>
  <headerFooter scaleWithDoc="0">
    <oddFooter>&amp;L&amp;8      80-NH713-1 R&amp;C&amp;8&amp;P &amp;"Arial,Bold" MAY CONTAIN U.S. AND INTERNATIONAL EXPORT CONTROLLED INFORMATION&amp;R&amp;8 Confidential and Proprietary - Qualcomm Technologies, Inc.</oddFooter>
  </headerFooter>
</worksheet>
</file>

<file path=xl/worksheets/sheet3.xml><?xml version="1.0" encoding="utf-8"?>
<worksheet xmlns="http://schemas.openxmlformats.org/spreadsheetml/2006/main" xmlns:r="http://schemas.openxmlformats.org/officeDocument/2006/relationships">
  <sheetPr codeName="Sheet5">
    <pageSetUpPr fitToPage="1"/>
  </sheetPr>
  <dimension ref="A1:R51"/>
  <sheetViews>
    <sheetView zoomScale="85" zoomScaleNormal="85" zoomScaleSheetLayoutView="85" zoomScalePageLayoutView="80" workbookViewId="0">
      <selection activeCell="Y151" sqref="Y151"/>
    </sheetView>
  </sheetViews>
  <sheetFormatPr defaultRowHeight="12.75"/>
  <cols>
    <col min="1" max="1" width="4.140625" customWidth="1"/>
  </cols>
  <sheetData>
    <row r="1" spans="1:11" ht="45" customHeight="1">
      <c r="A1" s="41" t="s">
        <v>108</v>
      </c>
      <c r="B1" s="40"/>
      <c r="C1" s="39"/>
      <c r="D1" s="39"/>
      <c r="E1" s="39"/>
      <c r="F1" s="39"/>
      <c r="G1" s="39"/>
      <c r="H1" s="39"/>
      <c r="I1" s="39"/>
      <c r="J1" s="39"/>
      <c r="K1" s="39"/>
    </row>
    <row r="2" spans="1:11" s="14" customFormat="1" ht="15" customHeight="1">
      <c r="A2" s="111" t="s">
        <v>133</v>
      </c>
      <c r="B2" s="112"/>
      <c r="C2" s="39"/>
      <c r="D2" s="39"/>
      <c r="E2" s="39"/>
      <c r="F2" s="39"/>
      <c r="G2" s="39"/>
      <c r="H2" s="39"/>
      <c r="I2" s="39"/>
      <c r="J2" s="39"/>
      <c r="K2" s="39"/>
    </row>
    <row r="3" spans="1:11" ht="18.75" customHeight="1">
      <c r="A3" s="113"/>
      <c r="B3" s="111" t="s">
        <v>197</v>
      </c>
      <c r="C3" s="39"/>
      <c r="D3" s="39"/>
      <c r="E3" s="39"/>
      <c r="F3" s="39"/>
      <c r="G3" s="39"/>
      <c r="H3" s="39"/>
      <c r="I3" s="39"/>
      <c r="J3" s="39"/>
      <c r="K3" s="39"/>
    </row>
    <row r="4" spans="1:11" ht="18.75" customHeight="1">
      <c r="A4" s="113"/>
      <c r="B4" s="111" t="s">
        <v>198</v>
      </c>
      <c r="C4" s="39"/>
      <c r="D4" s="39"/>
      <c r="E4" s="39"/>
      <c r="F4" s="39"/>
      <c r="G4" s="39"/>
      <c r="H4" s="39"/>
      <c r="I4" s="39"/>
      <c r="J4" s="39"/>
      <c r="K4" s="39"/>
    </row>
    <row r="5" spans="1:11" ht="18.75" customHeight="1">
      <c r="A5" s="113"/>
      <c r="B5" s="111" t="s">
        <v>134</v>
      </c>
      <c r="C5" s="39"/>
      <c r="D5" s="39"/>
      <c r="E5" s="39"/>
      <c r="F5" s="39"/>
      <c r="G5" s="39"/>
      <c r="H5" s="39"/>
      <c r="I5" s="39"/>
      <c r="J5" s="39"/>
      <c r="K5" s="39"/>
    </row>
    <row r="6" spans="1:11" ht="18.75" customHeight="1">
      <c r="A6" s="113"/>
      <c r="B6" s="111" t="s">
        <v>135</v>
      </c>
      <c r="C6" s="39"/>
      <c r="D6" s="39"/>
      <c r="E6" s="39"/>
      <c r="F6" s="39"/>
      <c r="G6" s="39"/>
      <c r="H6" s="39"/>
      <c r="I6" s="39"/>
      <c r="J6" s="39"/>
      <c r="K6" s="39"/>
    </row>
    <row r="7" spans="1:11" ht="18.75" customHeight="1">
      <c r="A7" s="113"/>
      <c r="B7" s="111" t="s">
        <v>136</v>
      </c>
      <c r="C7" s="39"/>
      <c r="D7" s="39"/>
      <c r="E7" s="39"/>
      <c r="F7" s="39"/>
      <c r="G7" s="39"/>
      <c r="H7" s="39"/>
      <c r="I7" s="39"/>
      <c r="J7" s="39"/>
      <c r="K7" s="39"/>
    </row>
    <row r="8" spans="1:11" s="14" customFormat="1" ht="18.75" customHeight="1">
      <c r="A8" s="113"/>
      <c r="B8" s="114" t="s">
        <v>199</v>
      </c>
      <c r="D8" s="39"/>
      <c r="E8" s="39"/>
      <c r="F8" s="39"/>
      <c r="G8" s="39"/>
      <c r="H8" s="39"/>
      <c r="I8" s="39"/>
      <c r="J8" s="39"/>
      <c r="K8" s="39"/>
    </row>
    <row r="9" spans="1:11" s="14" customFormat="1" ht="18.75" customHeight="1">
      <c r="A9" s="113"/>
      <c r="B9" s="114" t="s">
        <v>200</v>
      </c>
      <c r="D9" s="39"/>
      <c r="E9" s="39"/>
      <c r="F9" s="39"/>
      <c r="G9" s="39"/>
      <c r="H9" s="39"/>
      <c r="I9" s="39"/>
      <c r="J9" s="39"/>
      <c r="K9" s="39"/>
    </row>
    <row r="10" spans="1:11" s="14" customFormat="1" ht="18.75" customHeight="1">
      <c r="A10" s="113"/>
      <c r="B10" s="114" t="s">
        <v>201</v>
      </c>
      <c r="D10" s="39"/>
      <c r="E10" s="39"/>
      <c r="F10" s="39"/>
      <c r="G10" s="39"/>
      <c r="H10" s="39"/>
      <c r="I10" s="39"/>
      <c r="J10" s="39"/>
      <c r="K10" s="39"/>
    </row>
    <row r="11" spans="1:11" s="14" customFormat="1" ht="18.75" customHeight="1">
      <c r="A11" s="113"/>
      <c r="B11" s="114" t="s">
        <v>202</v>
      </c>
      <c r="D11" s="39"/>
      <c r="E11" s="39"/>
      <c r="F11" s="39"/>
      <c r="G11" s="39"/>
      <c r="H11" s="39"/>
      <c r="I11" s="39"/>
      <c r="J11" s="39"/>
      <c r="K11" s="39"/>
    </row>
    <row r="12" spans="1:11" s="14" customFormat="1" ht="18.75" customHeight="1">
      <c r="A12" s="113"/>
      <c r="B12" s="114" t="s">
        <v>203</v>
      </c>
      <c r="D12" s="39"/>
      <c r="E12" s="74"/>
      <c r="F12" s="39"/>
      <c r="G12" s="39"/>
      <c r="H12" s="39"/>
      <c r="I12" s="39"/>
      <c r="J12" s="39"/>
      <c r="K12" s="39"/>
    </row>
    <row r="13" spans="1:11" s="14" customFormat="1" ht="18.75" customHeight="1">
      <c r="A13" s="113"/>
      <c r="B13" s="114" t="s">
        <v>176</v>
      </c>
      <c r="D13" s="39"/>
      <c r="E13" s="74"/>
      <c r="F13" s="39"/>
      <c r="G13" s="39"/>
      <c r="H13" s="39"/>
      <c r="I13" s="39"/>
      <c r="J13" s="39"/>
      <c r="K13" s="39"/>
    </row>
    <row r="14" spans="1:11" ht="18.75" customHeight="1">
      <c r="A14" s="115"/>
      <c r="B14" s="116" t="s">
        <v>175</v>
      </c>
      <c r="D14" s="39"/>
      <c r="E14" s="39"/>
      <c r="F14" s="39"/>
      <c r="G14" s="39"/>
      <c r="H14" s="39"/>
      <c r="I14" s="39"/>
      <c r="J14" s="39"/>
      <c r="K14" s="39"/>
    </row>
    <row r="15" spans="1:11" s="14" customFormat="1" ht="18.75" customHeight="1">
      <c r="A15" s="115"/>
      <c r="B15" s="116" t="s">
        <v>213</v>
      </c>
      <c r="D15" s="39"/>
      <c r="E15" s="39"/>
      <c r="F15" s="39"/>
      <c r="G15" s="39"/>
      <c r="H15" s="39"/>
      <c r="I15" s="39"/>
      <c r="J15" s="39"/>
      <c r="K15" s="39"/>
    </row>
    <row r="16" spans="1:11" s="14" customFormat="1" ht="18.75" customHeight="1">
      <c r="A16" s="115"/>
      <c r="B16" s="116" t="s">
        <v>214</v>
      </c>
      <c r="D16" s="39"/>
      <c r="E16" s="39"/>
      <c r="F16" s="39"/>
      <c r="G16" s="39"/>
      <c r="H16" s="39"/>
      <c r="I16" s="39"/>
      <c r="J16" s="39"/>
      <c r="K16" s="39"/>
    </row>
    <row r="17" spans="1:11" s="14" customFormat="1" ht="18.75" customHeight="1">
      <c r="A17" s="115"/>
      <c r="B17" s="116" t="s">
        <v>215</v>
      </c>
      <c r="D17" s="39"/>
      <c r="E17" s="39"/>
      <c r="F17" s="39"/>
      <c r="G17" s="39"/>
      <c r="H17" s="39"/>
      <c r="I17" s="39"/>
      <c r="J17" s="39"/>
      <c r="K17" s="39"/>
    </row>
    <row r="18" spans="1:11" s="14" customFormat="1" ht="18.75" customHeight="1">
      <c r="A18" s="115"/>
      <c r="B18" s="116" t="s">
        <v>219</v>
      </c>
      <c r="D18" s="39"/>
      <c r="E18" s="39"/>
      <c r="F18" s="39"/>
      <c r="G18" s="39"/>
      <c r="H18" s="39"/>
      <c r="I18" s="39"/>
      <c r="J18" s="39"/>
      <c r="K18" s="39"/>
    </row>
    <row r="19" spans="1:11" s="14" customFormat="1" ht="18.75" customHeight="1">
      <c r="A19" s="115"/>
      <c r="B19" s="116" t="s">
        <v>220</v>
      </c>
      <c r="D19" s="39"/>
      <c r="E19" s="39"/>
      <c r="F19" s="39"/>
      <c r="G19" s="39"/>
      <c r="H19" s="39"/>
      <c r="I19" s="39"/>
      <c r="J19" s="39"/>
      <c r="K19" s="39"/>
    </row>
    <row r="20" spans="1:11" s="14" customFormat="1" ht="18.75" customHeight="1">
      <c r="A20" s="115"/>
      <c r="B20" s="116" t="s">
        <v>204</v>
      </c>
      <c r="D20" s="39"/>
      <c r="E20" s="39"/>
      <c r="F20" s="39"/>
      <c r="G20" s="39"/>
      <c r="H20" s="39"/>
      <c r="I20" s="39"/>
      <c r="J20" s="39"/>
      <c r="K20" s="39"/>
    </row>
    <row r="21" spans="1:11" s="14" customFormat="1" ht="18.75" customHeight="1">
      <c r="A21" s="115"/>
      <c r="B21" s="116" t="s">
        <v>221</v>
      </c>
      <c r="D21" s="39"/>
      <c r="E21" s="39"/>
      <c r="F21" s="39"/>
      <c r="G21" s="39"/>
      <c r="H21" s="39"/>
      <c r="I21" s="39"/>
      <c r="J21" s="39"/>
      <c r="K21" s="39"/>
    </row>
    <row r="22" spans="1:11" s="14" customFormat="1" ht="18.75" customHeight="1">
      <c r="A22" s="115"/>
      <c r="B22" s="116" t="s">
        <v>246</v>
      </c>
      <c r="D22" s="39"/>
      <c r="E22" s="39"/>
      <c r="F22" s="39"/>
      <c r="G22" s="39"/>
      <c r="H22" s="39"/>
      <c r="I22" s="39"/>
      <c r="J22" s="39"/>
      <c r="K22" s="39"/>
    </row>
    <row r="23" spans="1:11" s="14" customFormat="1" ht="18.75" customHeight="1">
      <c r="A23" s="115"/>
      <c r="B23" s="116" t="s">
        <v>247</v>
      </c>
      <c r="D23" s="39"/>
      <c r="E23" s="39"/>
      <c r="F23" s="39"/>
      <c r="G23" s="39"/>
      <c r="H23" s="39"/>
      <c r="I23" s="39"/>
      <c r="J23" s="39"/>
      <c r="K23" s="39"/>
    </row>
    <row r="24" spans="1:11" s="14" customFormat="1" ht="18.75" customHeight="1">
      <c r="A24" s="115"/>
      <c r="B24" s="116" t="s">
        <v>292</v>
      </c>
      <c r="D24" s="39"/>
      <c r="E24" s="39"/>
      <c r="F24" s="39"/>
      <c r="G24" s="39"/>
      <c r="H24" s="39"/>
      <c r="I24" s="39"/>
      <c r="J24" s="39"/>
      <c r="K24" s="39"/>
    </row>
    <row r="25" spans="1:11" s="14" customFormat="1" ht="18.75" customHeight="1">
      <c r="A25" s="41"/>
      <c r="B25" s="116" t="s">
        <v>249</v>
      </c>
      <c r="D25" s="39"/>
      <c r="E25" s="39"/>
      <c r="F25" s="39"/>
      <c r="G25" s="39"/>
      <c r="H25" s="39"/>
      <c r="I25" s="39"/>
      <c r="J25" s="39"/>
      <c r="K25" s="39"/>
    </row>
    <row r="26" spans="1:11" s="14" customFormat="1" ht="18.75" customHeight="1">
      <c r="A26" s="41"/>
      <c r="B26" s="116" t="s">
        <v>295</v>
      </c>
      <c r="D26" s="39"/>
      <c r="E26" s="39"/>
      <c r="F26" s="39"/>
      <c r="G26" s="39"/>
      <c r="H26" s="39"/>
      <c r="I26" s="39"/>
      <c r="J26" s="39"/>
      <c r="K26" s="39"/>
    </row>
    <row r="27" spans="1:11" s="14" customFormat="1" ht="18.75" customHeight="1">
      <c r="A27" s="41"/>
      <c r="B27" s="116" t="s">
        <v>241</v>
      </c>
      <c r="D27" s="39"/>
      <c r="E27" s="39"/>
      <c r="F27" s="39"/>
      <c r="G27" s="39"/>
      <c r="H27" s="39"/>
      <c r="I27" s="39"/>
      <c r="J27" s="39"/>
      <c r="K27" s="39"/>
    </row>
    <row r="28" spans="1:11" s="14" customFormat="1" ht="18.75" customHeight="1">
      <c r="A28" s="41"/>
      <c r="B28" s="116" t="s">
        <v>257</v>
      </c>
      <c r="D28" s="39"/>
      <c r="E28" s="39"/>
      <c r="F28" s="39"/>
      <c r="G28" s="39"/>
      <c r="H28" s="39"/>
      <c r="I28" s="39"/>
      <c r="J28" s="39"/>
      <c r="K28" s="39"/>
    </row>
    <row r="29" spans="1:11" s="14" customFormat="1" ht="18.75" customHeight="1">
      <c r="A29" s="41"/>
      <c r="B29" s="116" t="s">
        <v>293</v>
      </c>
      <c r="D29" s="39"/>
      <c r="E29" s="39"/>
      <c r="F29" s="39"/>
      <c r="G29" s="39"/>
      <c r="H29" s="39"/>
      <c r="I29" s="39"/>
      <c r="J29" s="39"/>
      <c r="K29" s="39"/>
    </row>
    <row r="30" spans="1:11" s="14" customFormat="1" ht="18.75" customHeight="1">
      <c r="A30" s="41"/>
      <c r="B30" s="116" t="s">
        <v>294</v>
      </c>
      <c r="D30" s="39"/>
      <c r="E30" s="39"/>
      <c r="F30" s="39"/>
      <c r="G30" s="39"/>
      <c r="H30" s="39"/>
      <c r="I30" s="39"/>
      <c r="J30" s="39"/>
      <c r="K30" s="39"/>
    </row>
    <row r="31" spans="1:11" s="14" customFormat="1" ht="18.75" customHeight="1">
      <c r="A31" s="41"/>
      <c r="B31" s="116" t="s">
        <v>258</v>
      </c>
      <c r="D31" s="39"/>
      <c r="E31" s="39"/>
      <c r="F31" s="39"/>
      <c r="G31" s="39"/>
      <c r="H31" s="39"/>
      <c r="I31" s="39"/>
      <c r="J31" s="39"/>
      <c r="K31" s="39"/>
    </row>
    <row r="32" spans="1:11" s="14" customFormat="1" ht="18.75" customHeight="1">
      <c r="A32" s="41"/>
      <c r="B32" s="116" t="s">
        <v>259</v>
      </c>
      <c r="D32" s="39"/>
      <c r="E32" s="39"/>
      <c r="F32" s="39"/>
      <c r="G32" s="39"/>
      <c r="H32" s="39"/>
      <c r="I32" s="39"/>
      <c r="J32" s="39"/>
      <c r="K32" s="39"/>
    </row>
    <row r="33" spans="1:12" ht="18.75" customHeight="1"/>
    <row r="34" spans="1:12" ht="18.75" customHeight="1">
      <c r="A34" s="109" t="s">
        <v>109</v>
      </c>
      <c r="B34" s="39"/>
      <c r="C34" s="39"/>
      <c r="D34" s="39"/>
      <c r="E34" s="39"/>
      <c r="F34" s="39"/>
      <c r="G34" s="39"/>
      <c r="H34" s="39"/>
      <c r="I34" s="39"/>
      <c r="J34" s="39"/>
      <c r="K34" s="39"/>
    </row>
    <row r="35" spans="1:12" ht="18.75" customHeight="1">
      <c r="A35" s="110" t="s">
        <v>212</v>
      </c>
      <c r="B35" s="110"/>
      <c r="C35" s="39"/>
      <c r="D35" s="39"/>
      <c r="E35" s="39"/>
      <c r="F35" s="39"/>
      <c r="G35" s="39"/>
      <c r="H35" s="39"/>
      <c r="I35" s="39"/>
      <c r="J35" s="39"/>
      <c r="K35" s="39"/>
    </row>
    <row r="36" spans="1:12" ht="18.75" customHeight="1">
      <c r="A36" s="110" t="s">
        <v>205</v>
      </c>
      <c r="B36" s="110"/>
      <c r="C36" s="39"/>
      <c r="D36" s="39"/>
      <c r="E36" s="39"/>
      <c r="F36" s="39"/>
      <c r="G36" s="39"/>
      <c r="H36" s="39"/>
      <c r="I36" s="39"/>
      <c r="J36" s="39"/>
      <c r="K36" s="39"/>
    </row>
    <row r="37" spans="1:12" s="14" customFormat="1" ht="18.75" customHeight="1">
      <c r="A37" s="110" t="s">
        <v>206</v>
      </c>
      <c r="B37" s="110"/>
      <c r="C37" s="39"/>
      <c r="D37" s="39"/>
      <c r="E37" s="39"/>
      <c r="F37" s="39"/>
      <c r="G37" s="39"/>
      <c r="H37" s="39"/>
      <c r="I37" s="39"/>
      <c r="J37" s="39"/>
      <c r="K37" s="39"/>
    </row>
    <row r="38" spans="1:12">
      <c r="A38" s="39"/>
      <c r="B38" s="39"/>
      <c r="C38" s="39"/>
      <c r="D38" s="39"/>
      <c r="E38" s="39"/>
      <c r="F38" s="39"/>
      <c r="G38" s="39"/>
      <c r="H38" s="39"/>
      <c r="I38" s="39"/>
      <c r="J38" s="39"/>
      <c r="K38" s="39"/>
    </row>
    <row r="39" spans="1:12">
      <c r="B39" s="39"/>
      <c r="C39" s="39"/>
      <c r="D39" s="39"/>
      <c r="E39" s="39"/>
      <c r="F39" s="39"/>
      <c r="G39" s="39"/>
      <c r="H39" s="39"/>
      <c r="I39" s="39"/>
      <c r="J39" s="39"/>
      <c r="K39" s="39"/>
    </row>
    <row r="41" spans="1:12" ht="20.25">
      <c r="A41" s="109" t="s">
        <v>207</v>
      </c>
    </row>
    <row r="42" spans="1:12" ht="67.5" customHeight="1">
      <c r="A42" s="136" t="s">
        <v>297</v>
      </c>
      <c r="B42" s="136"/>
      <c r="C42" s="136"/>
      <c r="D42" s="136"/>
      <c r="E42" s="136"/>
      <c r="F42" s="136"/>
      <c r="G42" s="136"/>
      <c r="H42" s="136"/>
      <c r="I42" s="136"/>
      <c r="J42" s="136"/>
      <c r="K42" s="136"/>
      <c r="L42" s="136"/>
    </row>
    <row r="43" spans="1:12" s="14" customFormat="1" ht="15">
      <c r="A43" s="113" t="s">
        <v>208</v>
      </c>
    </row>
    <row r="44" spans="1:12" ht="15">
      <c r="A44" s="110" t="s">
        <v>209</v>
      </c>
    </row>
    <row r="45" spans="1:12" ht="15">
      <c r="A45" s="110" t="s">
        <v>210</v>
      </c>
    </row>
    <row r="46" spans="1:12">
      <c r="A46" s="74"/>
    </row>
    <row r="47" spans="1:12" ht="20.25">
      <c r="A47" s="109" t="s">
        <v>244</v>
      </c>
      <c r="B47" s="3"/>
    </row>
    <row r="48" spans="1:12" ht="15">
      <c r="A48" s="116">
        <v>1</v>
      </c>
      <c r="B48" s="75" t="s">
        <v>316</v>
      </c>
    </row>
    <row r="49" spans="1:18">
      <c r="B49" s="75"/>
    </row>
    <row r="50" spans="1:18" ht="20.25">
      <c r="A50" s="109" t="s">
        <v>191</v>
      </c>
      <c r="B50" s="3"/>
      <c r="C50" s="14"/>
    </row>
    <row r="51" spans="1:18" ht="15">
      <c r="A51" s="117">
        <v>1</v>
      </c>
      <c r="B51" s="88" t="s">
        <v>216</v>
      </c>
      <c r="C51" s="75"/>
      <c r="D51" s="75"/>
      <c r="E51" s="75"/>
      <c r="F51" s="75"/>
      <c r="G51" s="75"/>
      <c r="H51" s="75"/>
      <c r="I51" s="75"/>
      <c r="J51" s="75"/>
      <c r="K51" s="75"/>
      <c r="L51" s="75"/>
      <c r="M51" s="75"/>
      <c r="N51" s="75"/>
      <c r="O51" s="75"/>
      <c r="P51" s="75"/>
      <c r="Q51" s="75"/>
      <c r="R51" s="75"/>
    </row>
  </sheetData>
  <mergeCells count="1">
    <mergeCell ref="A42:L42"/>
  </mergeCells>
  <phoneticPr fontId="51" type="noConversion"/>
  <pageMargins left="0.75" right="0.75" top="0.5" bottom="0.5" header="0.3" footer="0.3"/>
  <pageSetup scale="35" fitToHeight="0" orientation="portrait" r:id="rId1"/>
  <headerFooter scaleWithDoc="0">
    <oddFooter>&amp;L&amp;8      80-NH713-1 R&amp;C&amp;8 &amp;P&amp;"Arial,Bold" MAY CONTAIN U.S. AND INTERNATIONAL EXPORT CONTROLLED INFORMATION&amp;R&amp;8 Confidential and Proprietary - Qualcomm Technologies, Inc.</oddFooter>
  </headerFooter>
</worksheet>
</file>

<file path=xl/worksheets/sheet4.xml><?xml version="1.0" encoding="utf-8"?>
<worksheet xmlns="http://schemas.openxmlformats.org/spreadsheetml/2006/main" xmlns:r="http://schemas.openxmlformats.org/officeDocument/2006/relationships">
  <sheetPr codeName="Sheet1">
    <pageSetUpPr fitToPage="1"/>
  </sheetPr>
  <dimension ref="B1:N112"/>
  <sheetViews>
    <sheetView zoomScale="80" zoomScaleNormal="80" zoomScaleSheetLayoutView="100" zoomScalePageLayoutView="80" workbookViewId="0">
      <selection activeCell="C24" sqref="C24"/>
    </sheetView>
  </sheetViews>
  <sheetFormatPr defaultColWidth="9.140625" defaultRowHeight="12.75"/>
  <cols>
    <col min="1" max="1" width="3.28515625" style="14" customWidth="1"/>
    <col min="2" max="2" width="72.140625" style="14" customWidth="1"/>
    <col min="3" max="3" width="14.7109375" style="14" customWidth="1"/>
    <col min="4" max="4" width="15.7109375" style="14" customWidth="1"/>
    <col min="5" max="5" width="10.28515625" style="14" customWidth="1"/>
    <col min="6" max="6" width="15" style="14" customWidth="1"/>
    <col min="7" max="10" width="9.140625" style="14"/>
    <col min="11" max="11" width="6.5703125" style="14" customWidth="1"/>
    <col min="12" max="12" width="10" style="14" bestFit="1" customWidth="1"/>
    <col min="13" max="13" width="11" style="14" customWidth="1"/>
    <col min="14" max="14" width="12.85546875" style="14" customWidth="1"/>
    <col min="15" max="16384" width="9.140625" style="14"/>
  </cols>
  <sheetData>
    <row r="1" spans="2:14" ht="18">
      <c r="B1" s="66" t="s">
        <v>128</v>
      </c>
      <c r="C1" s="66"/>
      <c r="K1" s="65"/>
      <c r="L1" s="65"/>
      <c r="M1" s="62"/>
      <c r="N1" s="62"/>
    </row>
    <row r="2" spans="2:14">
      <c r="B2" s="58" t="s">
        <v>127</v>
      </c>
      <c r="C2" s="59">
        <v>60</v>
      </c>
      <c r="D2" s="14" t="s">
        <v>67</v>
      </c>
    </row>
    <row r="3" spans="2:14">
      <c r="B3" s="58" t="s">
        <v>126</v>
      </c>
      <c r="C3" s="59">
        <v>4</v>
      </c>
      <c r="D3" s="14" t="s">
        <v>29</v>
      </c>
      <c r="E3" s="56" t="s">
        <v>116</v>
      </c>
    </row>
    <row r="4" spans="2:14">
      <c r="B4" s="58" t="s">
        <v>125</v>
      </c>
      <c r="C4" s="59">
        <v>3</v>
      </c>
      <c r="D4" s="14" t="s">
        <v>28</v>
      </c>
    </row>
    <row r="5" spans="2:14" ht="15">
      <c r="C5" s="60"/>
    </row>
    <row r="6" spans="2:14">
      <c r="B6" s="14" t="s">
        <v>124</v>
      </c>
      <c r="C6" s="61">
        <f>C8</f>
        <v>720</v>
      </c>
      <c r="D6" s="1" t="s">
        <v>12</v>
      </c>
      <c r="E6" s="14" t="s">
        <v>13</v>
      </c>
      <c r="K6" s="64"/>
      <c r="L6" s="62"/>
      <c r="M6" s="62"/>
      <c r="N6" s="62"/>
    </row>
    <row r="7" spans="2:14">
      <c r="B7" s="14" t="s">
        <v>123</v>
      </c>
      <c r="C7" s="61">
        <f>C9</f>
        <v>1280</v>
      </c>
      <c r="D7" s="1" t="s">
        <v>14</v>
      </c>
      <c r="E7" s="14" t="s">
        <v>13</v>
      </c>
      <c r="K7" s="62"/>
      <c r="L7" s="62"/>
      <c r="M7" s="62"/>
      <c r="N7" s="62"/>
    </row>
    <row r="8" spans="2:14">
      <c r="B8" s="58" t="s">
        <v>122</v>
      </c>
      <c r="C8" s="59">
        <v>720</v>
      </c>
      <c r="D8" s="1" t="s">
        <v>12</v>
      </c>
      <c r="E8" s="14" t="s">
        <v>16</v>
      </c>
      <c r="K8" s="62"/>
      <c r="L8" s="62"/>
      <c r="M8" s="62"/>
      <c r="N8" s="62"/>
    </row>
    <row r="9" spans="2:14">
      <c r="B9" s="58" t="s">
        <v>121</v>
      </c>
      <c r="C9" s="59">
        <v>1280</v>
      </c>
      <c r="D9" s="1" t="s">
        <v>14</v>
      </c>
      <c r="E9" s="14" t="s">
        <v>16</v>
      </c>
      <c r="K9" s="62"/>
      <c r="L9" s="62"/>
      <c r="M9" s="62"/>
      <c r="N9" s="62"/>
    </row>
    <row r="10" spans="2:14" ht="15">
      <c r="C10" s="60"/>
      <c r="D10" s="1"/>
      <c r="K10" s="62"/>
      <c r="L10" s="62"/>
      <c r="M10" s="62"/>
      <c r="N10" s="62"/>
    </row>
    <row r="11" spans="2:14">
      <c r="B11" s="58" t="s">
        <v>120</v>
      </c>
      <c r="C11" s="59">
        <v>24</v>
      </c>
      <c r="D11" s="1" t="s">
        <v>62</v>
      </c>
      <c r="E11" s="56" t="s">
        <v>116</v>
      </c>
      <c r="K11" s="64"/>
      <c r="L11" s="62"/>
      <c r="M11" s="62"/>
      <c r="N11" s="62"/>
    </row>
    <row r="12" spans="2:14">
      <c r="B12" s="58" t="s">
        <v>119</v>
      </c>
      <c r="C12" s="59">
        <v>80</v>
      </c>
      <c r="D12" s="1" t="s">
        <v>62</v>
      </c>
      <c r="E12" s="56" t="s">
        <v>116</v>
      </c>
      <c r="K12" s="64"/>
      <c r="L12" s="62"/>
      <c r="M12" s="62"/>
      <c r="N12" s="62"/>
    </row>
    <row r="13" spans="2:14">
      <c r="B13" s="14" t="s">
        <v>118</v>
      </c>
      <c r="C13" s="61">
        <f>C11+C12</f>
        <v>104</v>
      </c>
      <c r="D13" s="1" t="s">
        <v>62</v>
      </c>
      <c r="K13" s="62"/>
      <c r="L13" s="63"/>
      <c r="M13" s="62"/>
      <c r="N13" s="62"/>
    </row>
    <row r="14" spans="2:14">
      <c r="B14" s="58" t="s">
        <v>117</v>
      </c>
      <c r="C14" s="59">
        <v>80</v>
      </c>
      <c r="D14" s="1" t="s">
        <v>62</v>
      </c>
      <c r="E14" s="56" t="s">
        <v>116</v>
      </c>
      <c r="K14" s="62"/>
      <c r="L14" s="63"/>
      <c r="M14" s="62"/>
      <c r="N14" s="62"/>
    </row>
    <row r="15" spans="2:14" ht="15">
      <c r="C15" s="60"/>
      <c r="D15" s="1"/>
      <c r="E15" s="14" t="str">
        <f>IF(C107&lt;C112, "horizontal total is too short if link goes to LP11 during BLLP", "horizontal total ok")</f>
        <v>horizontal total ok</v>
      </c>
    </row>
    <row r="16" spans="2:14">
      <c r="B16" s="58" t="s">
        <v>21</v>
      </c>
      <c r="C16" s="59">
        <v>2</v>
      </c>
      <c r="D16" s="1" t="s">
        <v>14</v>
      </c>
    </row>
    <row r="17" spans="2:7">
      <c r="B17" s="58" t="s">
        <v>22</v>
      </c>
      <c r="C17" s="59">
        <v>12</v>
      </c>
      <c r="D17" s="1" t="s">
        <v>14</v>
      </c>
    </row>
    <row r="18" spans="2:7">
      <c r="B18" s="14" t="s">
        <v>317</v>
      </c>
      <c r="C18" s="61">
        <f>C16+C17</f>
        <v>14</v>
      </c>
      <c r="D18" s="1" t="s">
        <v>14</v>
      </c>
    </row>
    <row r="19" spans="2:7">
      <c r="B19" s="58" t="s">
        <v>23</v>
      </c>
      <c r="C19" s="59">
        <v>8</v>
      </c>
      <c r="D19" s="1" t="s">
        <v>14</v>
      </c>
    </row>
    <row r="20" spans="2:7" ht="15">
      <c r="B20" s="55"/>
      <c r="C20" s="60"/>
      <c r="D20" s="1"/>
    </row>
    <row r="21" spans="2:7">
      <c r="B21" s="58" t="s">
        <v>177</v>
      </c>
      <c r="C21" s="59">
        <v>19.2</v>
      </c>
      <c r="D21" s="1" t="s">
        <v>15</v>
      </c>
    </row>
    <row r="22" spans="2:7">
      <c r="B22" s="58" t="s">
        <v>95</v>
      </c>
      <c r="C22" s="58">
        <v>1</v>
      </c>
      <c r="D22" s="1"/>
    </row>
    <row r="23" spans="2:7">
      <c r="B23" s="55"/>
      <c r="C23" s="55"/>
      <c r="D23" s="1"/>
    </row>
    <row r="24" spans="2:7">
      <c r="B24" s="58" t="s">
        <v>185</v>
      </c>
      <c r="C24" s="58" t="s">
        <v>318</v>
      </c>
      <c r="D24" s="1"/>
    </row>
    <row r="25" spans="2:7">
      <c r="B25" s="39" t="s">
        <v>184</v>
      </c>
      <c r="C25" s="39">
        <f>IF(OR(C24="SDM855",C24="SDM1000"),4,IF(OR(C24="8x98",C24="SDM845", C24="SDM670", C24="SDM710"),3,IF(OR(C24="8x96",C24="8x53",C24="SDM660",C24="SDM630",C24="SDM450", C24="SDM632", C24="SDM636"),2,1)))</f>
        <v>1</v>
      </c>
      <c r="D25" s="1"/>
    </row>
    <row r="26" spans="2:7" hidden="1">
      <c r="B26" s="82" t="s">
        <v>78</v>
      </c>
      <c r="C26" s="83"/>
      <c r="D26" s="57"/>
      <c r="E26" s="11"/>
      <c r="F26" s="11"/>
      <c r="G26" s="11"/>
    </row>
    <row r="27" spans="2:7" hidden="1">
      <c r="B27" s="89" t="s">
        <v>115</v>
      </c>
      <c r="C27" s="83"/>
      <c r="D27" s="57"/>
      <c r="E27" s="11"/>
      <c r="F27" s="11"/>
      <c r="G27" s="11"/>
    </row>
    <row r="28" spans="2:7">
      <c r="B28" s="58" t="s">
        <v>242</v>
      </c>
      <c r="C28" s="58">
        <v>0</v>
      </c>
      <c r="D28" s="1"/>
      <c r="E28" s="56" t="s">
        <v>116</v>
      </c>
      <c r="F28" s="14" t="s">
        <v>245</v>
      </c>
    </row>
    <row r="29" spans="2:7">
      <c r="B29" s="58" t="s">
        <v>277</v>
      </c>
      <c r="C29" s="58">
        <v>0</v>
      </c>
      <c r="D29" s="1"/>
    </row>
    <row r="30" spans="2:7">
      <c r="B30" s="58" t="s">
        <v>278</v>
      </c>
      <c r="C30" s="58">
        <v>1</v>
      </c>
      <c r="D30" s="1"/>
    </row>
    <row r="32" spans="2:7" ht="18">
      <c r="B32" s="50" t="s">
        <v>52</v>
      </c>
      <c r="C32" s="54"/>
    </row>
    <row r="34" spans="2:4">
      <c r="B34" s="44" t="s">
        <v>17</v>
      </c>
      <c r="C34" s="44">
        <f>SUM(C6,C11,C12,C14)</f>
        <v>904</v>
      </c>
      <c r="D34" s="44" t="s">
        <v>18</v>
      </c>
    </row>
    <row r="35" spans="2:4">
      <c r="B35" s="44" t="s">
        <v>19</v>
      </c>
      <c r="C35" s="44">
        <f>SUM(C7,C16,C17,C19)</f>
        <v>1302</v>
      </c>
      <c r="D35" s="44" t="s">
        <v>20</v>
      </c>
    </row>
    <row r="36" spans="2:4">
      <c r="B36" s="44" t="s">
        <v>65</v>
      </c>
      <c r="C36" s="45">
        <f>(C34*C35)/(C6*C7)</f>
        <v>1.2771354166666666</v>
      </c>
    </row>
    <row r="38" spans="2:4">
      <c r="B38" s="2" t="s">
        <v>24</v>
      </c>
      <c r="C38" s="2" t="s">
        <v>25</v>
      </c>
    </row>
    <row r="39" spans="2:4">
      <c r="B39" s="3" t="s">
        <v>53</v>
      </c>
      <c r="C39" s="53" t="str">
        <f>DEC2HEX(C34*2^16 + C11)</f>
        <v>3880018</v>
      </c>
    </row>
    <row r="40" spans="2:4">
      <c r="B40" s="3" t="s">
        <v>54</v>
      </c>
      <c r="C40" s="7" t="str">
        <f>DEC2HEX(C35*C34)</f>
        <v>11F5B0</v>
      </c>
    </row>
    <row r="41" spans="2:4">
      <c r="B41" s="3" t="s">
        <v>55</v>
      </c>
      <c r="C41" s="7" t="str">
        <f>DEC2HEX(C16*C34)</f>
        <v>710</v>
      </c>
    </row>
    <row r="42" spans="2:4">
      <c r="B42" s="3" t="s">
        <v>56</v>
      </c>
      <c r="C42" s="7" t="str">
        <f>DEC2HEX((C34-C14-1)*2^16 + C13)</f>
        <v>3370068</v>
      </c>
    </row>
    <row r="43" spans="2:4">
      <c r="B43" s="3" t="s">
        <v>57</v>
      </c>
      <c r="C43" s="7" t="str">
        <f>DEC2HEX(C18*C34)</f>
        <v>3170</v>
      </c>
    </row>
    <row r="44" spans="2:4">
      <c r="B44" s="3" t="s">
        <v>58</v>
      </c>
      <c r="C44" s="7" t="str">
        <f>DEC2HEX((C35-C19)*C34 - 1)</f>
        <v>11D96F</v>
      </c>
    </row>
    <row r="45" spans="2:4">
      <c r="B45" s="3" t="s">
        <v>59</v>
      </c>
      <c r="C45" s="7">
        <f>IF(C6&gt;C8,DEC2HEX( 1*2^31 + (C13+INT((C6-C8)/2) + C8-1)*2^16 + C13+INT((C6-C8)/2)), 0)</f>
        <v>0</v>
      </c>
      <c r="D45" s="137" t="s">
        <v>26</v>
      </c>
    </row>
    <row r="46" spans="2:4">
      <c r="B46" s="3" t="s">
        <v>60</v>
      </c>
      <c r="C46" s="7">
        <f>IF(C7&gt;C9,DEC2HEX( 1*2^31 + (C18+INT((C7-C9)/2))*C34), 0)</f>
        <v>0</v>
      </c>
      <c r="D46" s="137"/>
    </row>
    <row r="47" spans="2:4">
      <c r="B47" s="3" t="s">
        <v>61</v>
      </c>
      <c r="C47" s="7">
        <f>IF(C7&gt;C9,DEC2HEX(( C18+INT((C7-C9)/2)+C9)*C34 - 1), 0)</f>
        <v>0</v>
      </c>
      <c r="D47" s="137"/>
    </row>
    <row r="49" spans="2:3" ht="18">
      <c r="B49" s="50" t="s">
        <v>76</v>
      </c>
    </row>
    <row r="50" spans="2:3">
      <c r="B50" s="44"/>
      <c r="C50" s="44" t="s">
        <v>114</v>
      </c>
    </row>
    <row r="51" spans="2:3">
      <c r="B51" s="44" t="s">
        <v>0</v>
      </c>
      <c r="C51" s="52">
        <v>0</v>
      </c>
    </row>
    <row r="52" spans="2:3">
      <c r="B52" s="44" t="s">
        <v>1</v>
      </c>
      <c r="C52" s="52">
        <f>C11</f>
        <v>24</v>
      </c>
    </row>
    <row r="53" spans="2:3">
      <c r="B53" s="44" t="s">
        <v>2</v>
      </c>
      <c r="C53" s="52">
        <v>0</v>
      </c>
    </row>
    <row r="54" spans="2:3">
      <c r="B54" s="44" t="s">
        <v>3</v>
      </c>
      <c r="C54" s="52">
        <v>0</v>
      </c>
    </row>
    <row r="55" spans="2:3">
      <c r="B55" s="44" t="s">
        <v>4</v>
      </c>
      <c r="C55" s="52">
        <v>0</v>
      </c>
    </row>
    <row r="56" spans="2:3">
      <c r="B56" s="44" t="s">
        <v>5</v>
      </c>
      <c r="C56" s="52">
        <f>C16</f>
        <v>2</v>
      </c>
    </row>
    <row r="57" spans="2:3">
      <c r="B57" s="44" t="s">
        <v>6</v>
      </c>
      <c r="C57" s="52">
        <f>C8+C11+C12+C14-1</f>
        <v>903</v>
      </c>
    </row>
    <row r="58" spans="2:3">
      <c r="B58" s="44" t="s">
        <v>7</v>
      </c>
      <c r="C58" s="52">
        <f>C16+C17+C19+C9-1</f>
        <v>1301</v>
      </c>
    </row>
    <row r="59" spans="2:3">
      <c r="B59" s="44" t="s">
        <v>8</v>
      </c>
      <c r="C59" s="52">
        <f>C11+C12</f>
        <v>104</v>
      </c>
    </row>
    <row r="60" spans="2:3">
      <c r="B60" s="44" t="s">
        <v>9</v>
      </c>
      <c r="C60" s="52">
        <f>C11+C12+C8</f>
        <v>824</v>
      </c>
    </row>
    <row r="61" spans="2:3">
      <c r="B61" s="44" t="s">
        <v>10</v>
      </c>
      <c r="C61" s="52">
        <f>C16+C17</f>
        <v>14</v>
      </c>
    </row>
    <row r="62" spans="2:3">
      <c r="B62" s="44" t="s">
        <v>11</v>
      </c>
      <c r="C62" s="52">
        <f>C9+C16+C17</f>
        <v>1294</v>
      </c>
    </row>
    <row r="63" spans="2:3">
      <c r="B63" s="44"/>
      <c r="C63" s="52"/>
    </row>
    <row r="64" spans="2:3">
      <c r="B64" s="2" t="s">
        <v>24</v>
      </c>
      <c r="C64" s="2" t="s">
        <v>25</v>
      </c>
    </row>
    <row r="65" spans="2:3">
      <c r="B65" s="3" t="s">
        <v>71</v>
      </c>
      <c r="C65" s="7" t="str">
        <f>DEC2HEX(C60*2^16 + C59)</f>
        <v>3380068</v>
      </c>
    </row>
    <row r="66" spans="2:3">
      <c r="B66" s="3" t="s">
        <v>72</v>
      </c>
      <c r="C66" s="7" t="str">
        <f>DEC2HEX(C62*2^16+C61)</f>
        <v>50E000E</v>
      </c>
    </row>
    <row r="67" spans="2:3">
      <c r="B67" s="3" t="s">
        <v>73</v>
      </c>
      <c r="C67" s="7" t="str">
        <f>DEC2HEX(C58*2^16 + C57)</f>
        <v>5150387</v>
      </c>
    </row>
    <row r="68" spans="2:3">
      <c r="B68" s="3" t="s">
        <v>83</v>
      </c>
      <c r="C68" s="7" t="str">
        <f>DEC2HEX(C52*2^16+C51)</f>
        <v>180000</v>
      </c>
    </row>
    <row r="69" spans="2:3">
      <c r="B69" s="3" t="s">
        <v>74</v>
      </c>
      <c r="C69" s="7" t="str">
        <f>DEC2HEX(C54*2^16+C53)</f>
        <v>0</v>
      </c>
    </row>
    <row r="70" spans="2:3">
      <c r="B70" s="3" t="s">
        <v>75</v>
      </c>
      <c r="C70" s="7" t="str">
        <f>DEC2HEX(C56*2^16+C55)</f>
        <v>20000</v>
      </c>
    </row>
    <row r="71" spans="2:3">
      <c r="C71" s="51"/>
    </row>
    <row r="72" spans="2:3">
      <c r="B72" s="3" t="str">
        <f>'DSI PHY timing setting'!A42</f>
        <v>DSI_CLKOUT_TIMING_CTRL</v>
      </c>
      <c r="C72" s="7" t="str">
        <f>IF(PHY_MAJOR_VERSION&lt;2,'DSI PHY timing setting'!B42,IF(PHY_MAJOR_VERSION=2,'DSI PHY 2.0.0 timing setting'!B57,(IF(PHY_MAJOR_VERSION=3,'DSI PHY 3.0.0 DPHY timing'!B50, IF(PHY_MAJOR_VERSION=4,'DSI PHY 4.0.0 DPHY timing'!B54,"error")))))</f>
        <v>41A</v>
      </c>
    </row>
    <row r="73" spans="2:3">
      <c r="B73" s="3" t="str">
        <f>'DSI PHY timing setting'!A43</f>
        <v xml:space="preserve">DSI_TEST_PATTERN_GEN_VIDEO_ENABLE </v>
      </c>
      <c r="C73" s="7">
        <f>IF(PHY_MAJOR_VERSION&lt;2,'DSI PHY timing setting'!B43,IF(PHY_MAJOR_VERSION=2,'DSI PHY 2.0.0 timing setting'!B58,(IF(PHY_MAJOR_VERSION=3,'DSI PHY 3.0.0 DPHY timing'!B51, IF(PHY_MAJOR_VERSION=4,'DSI PHY 4.0.0 DPHY timing'!B55,"error")))))</f>
        <v>0</v>
      </c>
    </row>
    <row r="74" spans="2:3">
      <c r="B74" s="3" t="str">
        <f>IF(PHY_MAJOR_VERSION=4, 'DSI PHY 4.0.0 DPHY timing'!A56, "")</f>
        <v/>
      </c>
      <c r="C74" s="75" t="str">
        <f>IF(PHY_MAJOR_VERSION=4, 'DSI PHY 4.0.0 DPHY timing'!B56, "")</f>
        <v/>
      </c>
    </row>
    <row r="75" spans="2:3">
      <c r="B75" s="3" t="str">
        <f>IF(PHY_MAJOR_VERSION=4, 'DSI PHY 4.0.0 DPHY timing'!A57, IF(PHY_MAJOR_VERSION=3,'DSI PHY 3.0.0 DPHY timing'!A52,  IF(PHY_MAJOR_VERSION=2, 'DSI PHY 2.0.0 timing setting'!A59, "")))</f>
        <v/>
      </c>
      <c r="C75" s="3" t="str">
        <f>IF(PHY_MAJOR_VERSION=4, 'DSI PHY 4.0.0 DPHY timing'!B57, IF(PHY_MAJOR_VERSION=3,'DSI PHY 3.0.0 DPHY timing'!B52,  IF(PHY_MAJOR_VERSION=2, 'DSI PHY 2.0.0 timing setting'!B59, "")))</f>
        <v/>
      </c>
    </row>
    <row r="76" spans="2:3">
      <c r="B76" s="3" t="str">
        <f>IF(PHY_MAJOR_VERSION=4, 'DSI PHY 4.0.0 DPHY timing'!A58, IF(PHY_MAJOR_VERSION=3,'DSI PHY 3.0.0 DPHY timing'!A53,  IF(PHY_MAJOR_VERSION=2, 'DSI PHY 2.0.0 timing setting'!A60, "")))</f>
        <v/>
      </c>
      <c r="C76" s="3" t="str">
        <f>IF(PHY_MAJOR_VERSION=4, 'DSI PHY 4.0.0 DPHY timing'!B58, IF(PHY_MAJOR_VERSION=3,'DSI PHY 3.0.0 DPHY timing'!B53,  IF(PHY_MAJOR_VERSION=2, 'DSI PHY 2.0.0 timing setting'!B60, "")))</f>
        <v/>
      </c>
    </row>
    <row r="77" spans="2:3">
      <c r="B77" s="135" t="str">
        <f>IF(PHY_MAJOR_VERSION=4, 'DSI PHY 4.0.0 DPHY timing'!A59, IF(PHY_MAJOR_VERSION=3,'DSI PHY 3.0.0 DPHY timing'!A54,  IF(PHY_MAJOR_VERSION=2, 'DSI PHY 2.0.0 timing setting'!A61, "")))</f>
        <v/>
      </c>
      <c r="C77" s="3" t="str">
        <f>IF(PHY_MAJOR_VERSION=4, 'DSI PHY 4.0.0 DPHY timing'!B59, IF(PHY_MAJOR_VERSION=3,'DSI PHY 3.0.0 DPHY timing'!B54,  IF(PHY_MAJOR_VERSION=2, 'DSI PHY 2.0.0 timing setting'!B61, "")))</f>
        <v/>
      </c>
    </row>
    <row r="78" spans="2:3">
      <c r="B78" s="3"/>
      <c r="C78" s="7"/>
    </row>
    <row r="79" spans="2:3" ht="18">
      <c r="B79" s="50" t="s">
        <v>82</v>
      </c>
      <c r="C79" s="7"/>
    </row>
    <row r="80" spans="2:3">
      <c r="B80" s="10" t="str">
        <f>IF(PHY_MAJOR_VERSION=4, 'DSI PHY 4.0.0 DPHY timing'!A37, IF(PHY_MAJOR_VERSION=3, 'DSI PHY 3.0.0 DPHY timing'!A36,  IF(PHY_MAJOR_VERSION&lt;2, 'DSI PHY timing setting'!A28, 'DSI PHY 2.0.0 timing setting'!A38)))</f>
        <v>PHY Registers</v>
      </c>
      <c r="C80" s="10" t="str">
        <f>IF(PHY_MAJOR_VERSION=4, 'DSI PHY 4.0.0 DPHY timing'!B37, IF(PHY_MAJOR_VERSION=3, 'DSI PHY 3.0.0 DPHY timing'!B36,  IF(PHY_MAJOR_VERSION&lt;2, 'DSI PHY timing setting'!B28, 'DSI PHY 2.0.0 timing setting'!B38)))</f>
        <v>value in hex</v>
      </c>
    </row>
    <row r="81" spans="2:3">
      <c r="B81" s="10" t="str">
        <f>IF(PHY_MAJOR_VERSION=4, 'DSI PHY 4.0.0 DPHY timing'!A38, IF(PHY_MAJOR_VERSION=3, 'DSI PHY 3.0.0 DPHY timing'!A37,  IF(PHY_MAJOR_VERSION&lt;2, 'DSI PHY timing setting'!A29, 'DSI PHY 2.0.0 timing setting'!A39)))</f>
        <v>DSIPHY_TIMING_CTRL_0</v>
      </c>
      <c r="C81" s="10" t="str">
        <f>IF(PHY_MAJOR_VERSION=4, 'DSI PHY 4.0.0 DPHY timing'!B38, IF(PHY_MAJOR_VERSION=3, 'DSI PHY 3.0.0 DPHY timing'!B37,  IF(PHY_MAJOR_VERSION&lt;2, 'DSI PHY timing setting'!B29, 'DSI PHY 2.0.0 timing setting'!B39)))</f>
        <v>7A</v>
      </c>
    </row>
    <row r="82" spans="2:3">
      <c r="B82" s="10" t="str">
        <f>IF(PHY_MAJOR_VERSION=4, 'DSI PHY 4.0.0 DPHY timing'!A39, IF(PHY_MAJOR_VERSION=3, 'DSI PHY 3.0.0 DPHY timing'!A38,  IF(PHY_MAJOR_VERSION&lt;2, 'DSI PHY timing setting'!A30, 'DSI PHY 2.0.0 timing setting'!A40)))</f>
        <v>DSIPHY_TIMING_CTRL_1</v>
      </c>
      <c r="C82" s="10" t="str">
        <f>IF(PHY_MAJOR_VERSION=4, 'DSI PHY 4.0.0 DPHY timing'!B39, IF(PHY_MAJOR_VERSION=3, 'DSI PHY 3.0.0 DPHY timing'!B38,  IF(PHY_MAJOR_VERSION&lt;2, 'DSI PHY timing setting'!B30, 'DSI PHY 2.0.0 timing setting'!B40)))</f>
        <v>1A</v>
      </c>
    </row>
    <row r="83" spans="2:3">
      <c r="B83" s="10" t="str">
        <f>IF(PHY_MAJOR_VERSION=4, 'DSI PHY 4.0.0 DPHY timing'!A40, IF(PHY_MAJOR_VERSION=3, 'DSI PHY 3.0.0 DPHY timing'!A39,  IF(PHY_MAJOR_VERSION&lt;2, 'DSI PHY timing setting'!A31, 'DSI PHY 2.0.0 timing setting'!A41)))</f>
        <v>DSIPHY_TIMING_CTRL_2</v>
      </c>
      <c r="C83" s="10" t="str">
        <f>IF(PHY_MAJOR_VERSION=4, 'DSI PHY 4.0.0 DPHY timing'!B40, IF(PHY_MAJOR_VERSION=3, 'DSI PHY 3.0.0 DPHY timing'!B39,  IF(PHY_MAJOR_VERSION&lt;2, 'DSI PHY timing setting'!B31, 'DSI PHY 2.0.0 timing setting'!B41)))</f>
        <v>12</v>
      </c>
    </row>
    <row r="84" spans="2:3">
      <c r="B84" s="10" t="str">
        <f>IF(PHY_MAJOR_VERSION=4, 'DSI PHY 4.0.0 DPHY timing'!A41, IF(PHY_MAJOR_VERSION=3, 'DSI PHY 3.0.0 DPHY timing'!A40,  IF(PHY_MAJOR_VERSION&lt;2, 'DSI PHY timing setting'!A32, 'DSI PHY 2.0.0 timing setting'!A42)))</f>
        <v xml:space="preserve">DSIPHY_TIMING_CTRL_3 </v>
      </c>
      <c r="C84" s="10">
        <f>IF(PHY_MAJOR_VERSION=4, 'DSI PHY 4.0.0 DPHY timing'!B41, IF(PHY_MAJOR_VERSION=3, 'DSI PHY 3.0.0 DPHY timing'!B40,  IF(PHY_MAJOR_VERSION&lt;2, 'DSI PHY timing setting'!B32, 'DSI PHY 2.0.0 timing setting'!B42)))</f>
        <v>0</v>
      </c>
    </row>
    <row r="85" spans="2:3">
      <c r="B85" s="10" t="str">
        <f>IF(PHY_MAJOR_VERSION=4, 'DSI PHY 4.0.0 DPHY timing'!A42, IF(PHY_MAJOR_VERSION=3, 'DSI PHY 3.0.0 DPHY timing'!A41,  IF(PHY_MAJOR_VERSION&lt;2, 'DSI PHY timing setting'!A33, 'DSI PHY 2.0.0 timing setting'!A43)))</f>
        <v>DSIPHY_TIMING_CTRL_4</v>
      </c>
      <c r="C85" s="10" t="str">
        <f>IF(PHY_MAJOR_VERSION=4, 'DSI PHY 4.0.0 DPHY timing'!B42, IF(PHY_MAJOR_VERSION=3, 'DSI PHY 3.0.0 DPHY timing'!B41,  IF(PHY_MAJOR_VERSION&lt;2, 'DSI PHY timing setting'!B33, 'DSI PHY 2.0.0 timing setting'!B43)))</f>
        <v>3E</v>
      </c>
    </row>
    <row r="86" spans="2:3">
      <c r="B86" s="10" t="str">
        <f>IF(PHY_MAJOR_VERSION=4, 'DSI PHY 4.0.0 DPHY timing'!A43, IF(PHY_MAJOR_VERSION=3, 'DSI PHY 3.0.0 DPHY timing'!A42,  IF(PHY_MAJOR_VERSION&lt;2, 'DSI PHY timing setting'!A34, 'DSI PHY 2.0.0 timing setting'!A44)))</f>
        <v>DSIPHY_TIMING_CTRL_5</v>
      </c>
      <c r="C86" s="10" t="str">
        <f>IF(PHY_MAJOR_VERSION=4, 'DSI PHY 4.0.0 DPHY timing'!B43, IF(PHY_MAJOR_VERSION=3, 'DSI PHY 3.0.0 DPHY timing'!B42,  IF(PHY_MAJOR_VERSION&lt;2, 'DSI PHY timing setting'!B34, 'DSI PHY 2.0.0 timing setting'!B44)))</f>
        <v>42</v>
      </c>
    </row>
    <row r="87" spans="2:3">
      <c r="B87" s="10" t="str">
        <f>IF(PHY_MAJOR_VERSION=4, 'DSI PHY 4.0.0 DPHY timing'!A44, IF(PHY_MAJOR_VERSION=3, 'DSI PHY 3.0.0 DPHY timing'!A43,  IF(PHY_MAJOR_VERSION&lt;2, 'DSI PHY timing setting'!A35, 'DSI PHY 2.0.0 timing setting'!A45)))</f>
        <v>DSIPHY_TIMING_CTRL_6</v>
      </c>
      <c r="C87" s="10" t="str">
        <f>IF(PHY_MAJOR_VERSION=4, 'DSI PHY 4.0.0 DPHY timing'!B44, IF(PHY_MAJOR_VERSION=3, 'DSI PHY 3.0.0 DPHY timing'!B43,  IF(PHY_MAJOR_VERSION&lt;2, 'DSI PHY timing setting'!B35, 'DSI PHY 2.0.0 timing setting'!B45)))</f>
        <v>16</v>
      </c>
    </row>
    <row r="88" spans="2:3">
      <c r="B88" s="10" t="str">
        <f>IF(PHY_MAJOR_VERSION=4, 'DSI PHY 4.0.0 DPHY timing'!A45, IF(PHY_MAJOR_VERSION=3, 'DSI PHY 3.0.0 DPHY timing'!A44,  IF(PHY_MAJOR_VERSION&lt;2, 'DSI PHY timing setting'!A36, 'DSI PHY 2.0.0 timing setting'!A46)))</f>
        <v>DSIPHY_TIMING_CTRL_7</v>
      </c>
      <c r="C88" s="10" t="str">
        <f>IF(PHY_MAJOR_VERSION=4, 'DSI PHY 4.0.0 DPHY timing'!B45, IF(PHY_MAJOR_VERSION=3, 'DSI PHY 3.0.0 DPHY timing'!B44,  IF(PHY_MAJOR_VERSION&lt;2, 'DSI PHY timing setting'!B36, 'DSI PHY 2.0.0 timing setting'!B46)))</f>
        <v>1E</v>
      </c>
    </row>
    <row r="89" spans="2:3">
      <c r="B89" s="10" t="str">
        <f>IF(PHY_MAJOR_VERSION=4, 'DSI PHY 4.0.0 DPHY timing'!A46, IF(PHY_MAJOR_VERSION=3, 'DSI PHY 3.0.0 DPHY timing'!A45,  IF(PHY_MAJOR_VERSION&lt;2, 'DSI PHY timing setting'!A37, 'DSI PHY 2.0.0 timing setting'!A47)))</f>
        <v>DSIPHY_TIMING_CTRL_8</v>
      </c>
      <c r="C89" s="10" t="str">
        <f>IF(PHY_MAJOR_VERSION=4, 'DSI PHY 4.0.0 DPHY timing'!B46, IF(PHY_MAJOR_VERSION=3, 'DSI PHY 3.0.0 DPHY timing'!B45,  IF(PHY_MAJOR_VERSION&lt;2, 'DSI PHY timing setting'!B37, 'DSI PHY 2.0.0 timing setting'!B47)))</f>
        <v>14</v>
      </c>
    </row>
    <row r="90" spans="2:3">
      <c r="B90" s="10" t="str">
        <f>IF(PHY_MAJOR_VERSION=4, 'DSI PHY 4.0.0 DPHY timing'!A47, IF(PHY_MAJOR_VERSION=3, 'DSI PHY 3.0.0 DPHY timing'!A46,  IF(PHY_MAJOR_VERSION&lt;2, 'DSI PHY timing setting'!A38, 'DSI PHY 2.0.0 timing setting'!A48)))</f>
        <v>DSIPHY_TIMING_CTRL_9</v>
      </c>
      <c r="C90" s="10" t="str">
        <f>IF(PHY_MAJOR_VERSION=4, 'DSI PHY 4.0.0 DPHY timing'!B47, IF(PHY_MAJOR_VERSION=3, 'DSI PHY 3.0.0 DPHY timing'!B46,  IF(PHY_MAJOR_VERSION&lt;2, 'DSI PHY timing setting'!B38, 'DSI PHY 2.0.0 timing setting'!B48)))</f>
        <v>3</v>
      </c>
    </row>
    <row r="91" spans="2:3">
      <c r="B91" s="10" t="str">
        <f>IF(PHY_MAJOR_VERSION=4, 'DSI PHY 4.0.0 DPHY timing'!A48, IF(PHY_MAJOR_VERSION=3, 'DSI PHY 3.0.0 DPHY timing'!A47,  IF(PHY_MAJOR_VERSION&lt;2, 'DSI PHY timing setting'!A39, 'DSI PHY 2.0.0 timing setting'!A49)))</f>
        <v>DSIPHY_TIMING_CTRL_10</v>
      </c>
      <c r="C91" s="10" t="str">
        <f>IF(PHY_MAJOR_VERSION=4, 'DSI PHY 4.0.0 DPHY timing'!B48, IF(PHY_MAJOR_VERSION=3, 'DSI PHY 3.0.0 DPHY timing'!B47,  IF(PHY_MAJOR_VERSION&lt;2, 'DSI PHY timing setting'!B39, 'DSI PHY 2.0.0 timing setting'!B49)))</f>
        <v>4</v>
      </c>
    </row>
    <row r="92" spans="2:3">
      <c r="B92" s="10" t="str">
        <f>IF(PHY_MAJOR_VERSION=4, 'DSI PHY 4.0.0 DPHY timing'!A49, IF(PHY_MAJOR_VERSION&lt;&gt;2, "", 'DSI PHY 2.0.0 timing setting'!A50))</f>
        <v/>
      </c>
      <c r="C92" s="10" t="str">
        <f>IF(PHY_MAJOR_VERSION=4, 'DSI PHY 4.0.0 DPHY timing'!B49, IF(PHY_MAJOR_VERSION&lt;&gt;2, "", 'DSI PHY 2.0.0 timing setting'!B50))</f>
        <v/>
      </c>
    </row>
    <row r="93" spans="2:3">
      <c r="B93" s="10" t="str">
        <f>IF(PHY_MAJOR_VERSION=4, 'DSI PHY 4.0.0 DPHY timing'!A50, IF(PHY_MAJOR_VERSION&lt;&gt;2, "", 'DSI PHY 2.0.0 timing setting'!A51))</f>
        <v/>
      </c>
      <c r="C93" s="10" t="str">
        <f>IF(PHY_MAJOR_VERSION=4, 'DSI PHY 4.0.0 DPHY timing'!B50, IF(PHY_MAJOR_VERSION&lt;&gt;2, "", 'DSI PHY 2.0.0 timing setting'!B51))</f>
        <v/>
      </c>
    </row>
    <row r="94" spans="2:3">
      <c r="B94" s="10" t="str">
        <f>IF(PHY_MAJOR_VERSION=4, 'DSI PHY 4.0.0 DPHY timing'!A51, IF(PHY_MAJOR_VERSION&lt;&gt;2, "", 'DSI PHY 2.0.0 timing setting'!A52))</f>
        <v/>
      </c>
      <c r="C94" s="10" t="str">
        <f>IF(PHY_MAJOR_VERSION=4, 'DSI PHY 4.0.0 DPHY timing'!B51, IF(PHY_MAJOR_VERSION&lt;&gt;2, "", 'DSI PHY 2.0.0 timing setting'!B52))</f>
        <v/>
      </c>
    </row>
    <row r="95" spans="2:3">
      <c r="B95" s="10" t="str">
        <f>IF(PHY_MAJOR_VERSION&lt;&gt;2, "", 'DSI PHY 2.0.0 timing setting'!A53)</f>
        <v/>
      </c>
      <c r="C95" s="10" t="str">
        <f>IF(PHY_MAJOR_VERSION&lt;&gt;2, "", 'DSI PHY 2.0.0 timing setting'!B53)</f>
        <v/>
      </c>
    </row>
    <row r="96" spans="2:3">
      <c r="B96" s="10" t="str">
        <f>IF(PHY_MAJOR_VERSION&lt;&gt;2, "", 'DSI PHY 2.0.0 timing setting'!A54)</f>
        <v/>
      </c>
      <c r="C96" s="10" t="str">
        <f>IF(PHY_MAJOR_VERSION&lt;&gt;2, "", 'DSI PHY 2.0.0 timing setting'!B54)</f>
        <v/>
      </c>
    </row>
    <row r="98" spans="2:6" ht="23.25">
      <c r="B98" s="49" t="s">
        <v>27</v>
      </c>
      <c r="C98" s="3"/>
    </row>
    <row r="99" spans="2:6">
      <c r="B99" s="14" t="s">
        <v>84</v>
      </c>
      <c r="C99" s="9">
        <f>C34*C35*C2*C4*8*0.000001/C3</f>
        <v>423.72287999999998</v>
      </c>
      <c r="D99" s="14" t="s">
        <v>15</v>
      </c>
    </row>
    <row r="100" spans="2:6">
      <c r="B100" s="14" t="s">
        <v>85</v>
      </c>
      <c r="C100" s="9">
        <f>C99/8</f>
        <v>52.965359999999997</v>
      </c>
      <c r="D100" s="14" t="s">
        <v>15</v>
      </c>
    </row>
    <row r="101" spans="2:6" hidden="1">
      <c r="B101" s="14" t="s">
        <v>86</v>
      </c>
      <c r="C101" s="9">
        <f>C100*C3</f>
        <v>211.86143999999999</v>
      </c>
      <c r="D101" s="14" t="s">
        <v>15</v>
      </c>
      <c r="E101" s="48"/>
      <c r="F101" s="48"/>
    </row>
    <row r="102" spans="2:6">
      <c r="B102" s="14" t="s">
        <v>87</v>
      </c>
      <c r="C102" s="9">
        <f>C101/C4</f>
        <v>70.620480000000001</v>
      </c>
      <c r="D102" s="14" t="s">
        <v>15</v>
      </c>
    </row>
    <row r="103" spans="2:6">
      <c r="C103" s="9"/>
    </row>
    <row r="104" spans="2:6">
      <c r="C104" s="47"/>
    </row>
    <row r="105" spans="2:6">
      <c r="B105" s="46" t="s">
        <v>70</v>
      </c>
      <c r="C105" s="44"/>
      <c r="D105" s="44"/>
    </row>
    <row r="106" spans="2:6">
      <c r="B106" s="44" t="s">
        <v>68</v>
      </c>
      <c r="C106" s="44">
        <f>(C36-1)*100</f>
        <v>27.713541666666664</v>
      </c>
      <c r="D106" s="44" t="s">
        <v>69</v>
      </c>
    </row>
    <row r="107" spans="2:6">
      <c r="B107" s="44" t="s">
        <v>113</v>
      </c>
      <c r="C107" s="45">
        <f>C34/C102</f>
        <v>12.800819252432156</v>
      </c>
      <c r="D107" s="44" t="s">
        <v>156</v>
      </c>
    </row>
    <row r="108" spans="2:6">
      <c r="B108" s="44" t="s">
        <v>66</v>
      </c>
      <c r="C108" s="45">
        <f>C13/C102</f>
        <v>1.4726606219612215</v>
      </c>
      <c r="D108" s="44" t="s">
        <v>156</v>
      </c>
    </row>
    <row r="109" spans="2:6">
      <c r="B109" s="44" t="s">
        <v>30</v>
      </c>
      <c r="C109" s="45">
        <f>C6/C102</f>
        <v>10.19534276742384</v>
      </c>
      <c r="D109" s="44" t="s">
        <v>156</v>
      </c>
    </row>
    <row r="110" spans="2:6">
      <c r="B110" s="44" t="s">
        <v>31</v>
      </c>
      <c r="C110" s="45">
        <f>C14/C102</f>
        <v>1.1328158630470935</v>
      </c>
      <c r="D110" s="44" t="s">
        <v>156</v>
      </c>
    </row>
    <row r="111" spans="2:6">
      <c r="B111" s="44" t="s">
        <v>280</v>
      </c>
      <c r="C111" s="44">
        <f>0.001*IF(PHY_MAJOR_VERSION=3, 'DSI PHY 3.0.0 DPHY timing'!H28,  IF(PHY_MAJOR_VERSION&lt;2, 'DSI PHY timing setting'!H25, 'DSI PHY 2.0.0 timing setting'!H30))</f>
        <v>1.3995271867612291</v>
      </c>
      <c r="D111" s="44" t="s">
        <v>156</v>
      </c>
    </row>
    <row r="112" spans="2:6">
      <c r="B112" s="44" t="s">
        <v>281</v>
      </c>
      <c r="C112" s="44">
        <f>ROUNDUP(IF(C28=0, 13/C102+24/C100+272/C99+C111, 13/C102+20/C100+140/C99+C111), 2)</f>
        <v>2.6799999999999997</v>
      </c>
      <c r="D112" s="44" t="s">
        <v>156</v>
      </c>
    </row>
  </sheetData>
  <mergeCells count="1">
    <mergeCell ref="D45:D47"/>
  </mergeCells>
  <phoneticPr fontId="51" type="noConversion"/>
  <conditionalFormatting sqref="E15">
    <cfRule type="containsText" dxfId="5" priority="1" operator="containsText" text="ok">
      <formula>NOT(ISERROR(SEARCH("ok",E15)))</formula>
    </cfRule>
    <cfRule type="containsText" dxfId="4" priority="2" operator="containsText" text="too short">
      <formula>NOT(ISERROR(SEARCH("too short",E15)))</formula>
    </cfRule>
  </conditionalFormatting>
  <pageMargins left="0.75" right="0.75" top="0.5" bottom="0.5" header="0.3" footer="0.3"/>
  <pageSetup scale="54" fitToHeight="0" orientation="portrait" r:id="rId1"/>
  <headerFooter scaleWithDoc="0">
    <oddFooter>&amp;L&amp;8      80-NH713-1 R&amp;C&amp;8&amp;P&amp;"Arial,Bold"MAY CONTAIN U.S. AND INTERNATIONAL EXPORT CONTROLLED INFORMATION&amp;R&amp;8Confidential and Proprietary - Qualcomm Technologies, Inc.</oddFooter>
  </headerFooter>
  <rowBreaks count="1" manualBreakCount="1">
    <brk id="47" max="16383" man="1"/>
  </rowBreaks>
  <extLst xmlns:x14="http://schemas.microsoft.com/office/spreadsheetml/2009/9/main">
    <ext uri="{CCE6A557-97BC-4b89-ADB6-D9C93CAAB3DF}">
      <x14:dataValidations xmlns:xm="http://schemas.microsoft.com/office/excel/2006/main" count="1">
        <x14:dataValidation type="list" allowBlank="1" showInputMessage="1" showErrorMessage="1">
          <x14:formula1>
            <xm:f>'User Instructions'!$B$3:$B$32</xm:f>
          </x14:formula1>
          <xm:sqref>C24</xm:sqref>
        </x14:dataValidation>
      </x14:dataValidations>
    </ext>
  </extLst>
</worksheet>
</file>

<file path=xl/worksheets/sheet5.xml><?xml version="1.0" encoding="utf-8"?>
<worksheet xmlns="http://schemas.openxmlformats.org/spreadsheetml/2006/main" xmlns:r="http://schemas.openxmlformats.org/officeDocument/2006/relationships">
  <sheetPr codeName="Sheet2">
    <pageSetUpPr fitToPage="1"/>
  </sheetPr>
  <dimension ref="A1:I51"/>
  <sheetViews>
    <sheetView showGridLines="0" tabSelected="1" view="pageBreakPreview" zoomScaleNormal="85" zoomScaleSheetLayoutView="100" workbookViewId="0">
      <selection activeCell="E31" sqref="E31"/>
    </sheetView>
  </sheetViews>
  <sheetFormatPr defaultColWidth="9.140625" defaultRowHeight="12.75"/>
  <cols>
    <col min="1" max="1" width="44" style="14" customWidth="1"/>
    <col min="2" max="2" width="16" style="14" customWidth="1"/>
    <col min="3" max="3" width="19.28515625" style="14" customWidth="1"/>
    <col min="4" max="4" width="11.5703125" style="14" customWidth="1"/>
    <col min="5" max="6" width="12.140625" style="14" customWidth="1"/>
    <col min="7" max="7" width="24.7109375" style="14" customWidth="1"/>
    <col min="8" max="8" width="16" style="14" customWidth="1"/>
    <col min="9" max="10" width="9.140625" style="14"/>
    <col min="11" max="11" width="5.85546875" style="14" customWidth="1"/>
    <col min="12" max="16384" width="9.140625" style="14"/>
  </cols>
  <sheetData>
    <row r="1" spans="1:9" ht="18">
      <c r="A1" s="8" t="s">
        <v>80</v>
      </c>
    </row>
    <row r="2" spans="1:9" ht="18">
      <c r="A2" s="12" t="s">
        <v>129</v>
      </c>
      <c r="B2" s="11"/>
      <c r="G2" s="16"/>
    </row>
    <row r="3" spans="1:9">
      <c r="A3" s="24" t="s">
        <v>96</v>
      </c>
      <c r="B3" s="67">
        <f>ROUNDDOWN('DSI and MDP registers'!C99, 0)</f>
        <v>423</v>
      </c>
      <c r="C3" s="14" t="s">
        <v>97</v>
      </c>
    </row>
    <row r="4" spans="1:9">
      <c r="A4" s="24" t="s">
        <v>33</v>
      </c>
      <c r="B4" s="68">
        <f>'DSI and MDP registers'!C21/'DSI and MDP registers'!C22</f>
        <v>19.2</v>
      </c>
      <c r="C4" s="14" t="s">
        <v>15</v>
      </c>
      <c r="E4" s="31" t="s">
        <v>100</v>
      </c>
      <c r="F4" s="26"/>
      <c r="G4" s="21" t="str">
        <f>IF(MOD(($F$16+$G$10+$F$11),8)=0,"VALID","INVALID")</f>
        <v>VALID</v>
      </c>
    </row>
    <row r="5" spans="1:9">
      <c r="A5" s="24" t="s">
        <v>36</v>
      </c>
      <c r="B5" s="25">
        <f>10^3/B3</f>
        <v>2.3640661938534278</v>
      </c>
      <c r="C5" s="14" t="s">
        <v>37</v>
      </c>
    </row>
    <row r="6" spans="1:9">
      <c r="A6" s="24" t="s">
        <v>46</v>
      </c>
      <c r="B6" s="18">
        <f>10^3/B4</f>
        <v>52.083333333333336</v>
      </c>
      <c r="C6" s="14" t="s">
        <v>37</v>
      </c>
    </row>
    <row r="7" spans="1:9">
      <c r="A7" s="24" t="s">
        <v>89</v>
      </c>
      <c r="B7" s="26">
        <v>20</v>
      </c>
      <c r="C7" s="14" t="s">
        <v>37</v>
      </c>
    </row>
    <row r="8" spans="1:9">
      <c r="A8" s="29"/>
      <c r="B8" s="138" t="s">
        <v>92</v>
      </c>
      <c r="C8" s="139"/>
      <c r="D8" s="140" t="s">
        <v>77</v>
      </c>
      <c r="E8" s="140"/>
      <c r="F8" s="140"/>
      <c r="G8" s="42" t="s">
        <v>130</v>
      </c>
      <c r="H8" s="141" t="s">
        <v>186</v>
      </c>
      <c r="I8" s="6"/>
    </row>
    <row r="9" spans="1:9" s="3" customFormat="1">
      <c r="A9" s="30"/>
      <c r="B9" s="27" t="s">
        <v>50</v>
      </c>
      <c r="C9" s="19" t="s">
        <v>51</v>
      </c>
      <c r="D9" s="43" t="s">
        <v>63</v>
      </c>
      <c r="E9" s="43" t="s">
        <v>64</v>
      </c>
      <c r="F9" s="20"/>
      <c r="G9" s="42" t="s">
        <v>49</v>
      </c>
      <c r="H9" s="142"/>
      <c r="I9" s="6"/>
    </row>
    <row r="10" spans="1:9">
      <c r="A10" s="30" t="s">
        <v>32</v>
      </c>
      <c r="B10" s="28">
        <v>38</v>
      </c>
      <c r="C10" s="21">
        <v>95</v>
      </c>
      <c r="D10" s="18">
        <f>ROUNDUP(B10/$B$5, 0) - 2</f>
        <v>15</v>
      </c>
      <c r="E10" s="18">
        <f>ROUNDUP(C10/$B$5, 0) - 2</f>
        <v>39</v>
      </c>
      <c r="F10" s="18">
        <f>IF(MOD(ROUNDUP((E10-D10)*($F$48/100)+D10, 0),2)=0, ROUNDUP((E10-D10)*($F$48/100)+D10, 0), ROUNDUP((E10-D10)*($F$48/100)+D10, 0)-1)</f>
        <v>18</v>
      </c>
      <c r="G10" s="22">
        <f>F10</f>
        <v>18</v>
      </c>
      <c r="H10" s="17">
        <f>(QUOTIENT(G10,2)+1)*2*$B$5</f>
        <v>47.281323877068559</v>
      </c>
    </row>
    <row r="11" spans="1:9">
      <c r="A11" s="30" t="s">
        <v>34</v>
      </c>
      <c r="B11" s="28">
        <f>300-H10</f>
        <v>252.71867612293144</v>
      </c>
      <c r="C11" s="21"/>
      <c r="D11" s="18">
        <f>ROUNDUP(B11/$B$5, 0) - 2</f>
        <v>105</v>
      </c>
      <c r="E11" s="18">
        <f>IF(D11&gt; 255, 511, 255)</f>
        <v>255</v>
      </c>
      <c r="F11" s="18">
        <v>122</v>
      </c>
      <c r="G11" s="22">
        <f>IF(MOD(($F$16 + $G$10 + $F$11), 8)=0, $F$11, "INVALID")</f>
        <v>122</v>
      </c>
      <c r="H11" s="17">
        <f>(QUOTIENT(G11,2)+1)*2*$B$5</f>
        <v>293.14420803782502</v>
      </c>
    </row>
    <row r="12" spans="1:9">
      <c r="A12" s="30" t="s">
        <v>35</v>
      </c>
      <c r="B12" s="28">
        <v>60</v>
      </c>
      <c r="C12" s="21">
        <f>C22-$B$7</f>
        <v>113.36879432624113</v>
      </c>
      <c r="D12" s="18">
        <f>ROUNDUP(B12/$B$5, 0) - 2</f>
        <v>24</v>
      </c>
      <c r="E12" s="18">
        <f>ROUNDUP(C12/$B$5, 0) - 2</f>
        <v>46</v>
      </c>
      <c r="F12" s="18">
        <f>IF(MOD(ROUNDUP((E12-D12)*($F$51/100)+D12, 0),2)=0, ROUNDUP((E12-D12)*($F$51/100)+D12, 0), ROUNDUP((E12-D12)*($F$51/100)+D12, 0)-1)</f>
        <v>26</v>
      </c>
      <c r="G12" s="22">
        <f>IF(F12 &lt; 0, 0, F12)</f>
        <v>26</v>
      </c>
      <c r="H12" s="17">
        <f t="shared" ref="H12:H17" si="0">(QUOTIENT(G12,2)+1)*2*$B$5</f>
        <v>66.193853427895974</v>
      </c>
    </row>
    <row r="13" spans="1:9">
      <c r="A13" s="30" t="s">
        <v>38</v>
      </c>
      <c r="B13" s="28">
        <f>40+4*B5</f>
        <v>49.456264775413715</v>
      </c>
      <c r="C13" s="21">
        <f>85+6*B5</f>
        <v>99.184397163120565</v>
      </c>
      <c r="D13" s="18">
        <f>ROUNDUP(B13/$B$5, 0) - 2</f>
        <v>19</v>
      </c>
      <c r="E13" s="18">
        <f>ROUNDUP(C13/$B$5, 0) - 2</f>
        <v>40</v>
      </c>
      <c r="F13" s="18">
        <f>IF(MOD(ROUNDUP((E13-D13)*($F$49/100)+D13, 0),2)=0, ROUNDUP((E13-D13)*($F$49/100)+D13, 0), ROUNDUP((E13-D13)*($F$49/100)+D13, 0)-1)</f>
        <v>22</v>
      </c>
      <c r="G13" s="22">
        <f>IF(F13 &lt; 0, 0, F13)</f>
        <v>22</v>
      </c>
      <c r="H13" s="17">
        <f>(QUOTIENT(G13,2)+1)*2*$B$5 + 2*$B$5</f>
        <v>61.465721040189123</v>
      </c>
      <c r="I13" s="48"/>
    </row>
    <row r="14" spans="1:9">
      <c r="A14" s="30" t="s">
        <v>39</v>
      </c>
      <c r="B14" s="28">
        <f>145+10*B5-H13</f>
        <v>107.17494089834514</v>
      </c>
      <c r="C14" s="21"/>
      <c r="D14" s="18">
        <f>ROUNDUP(B14/$B$5, 0) - 2</f>
        <v>44</v>
      </c>
      <c r="E14" s="18">
        <v>255</v>
      </c>
      <c r="F14" s="18">
        <f>IF(MOD(ROUNDUP((E14-D14)*($F$50/100)+D14, 0),2)=0, ROUNDUP((E14-D14)*($F$50/100)+D14, 0), ROUNDUP((E14-D14)*($F$50/100)+D14, 0)-1)</f>
        <v>66</v>
      </c>
      <c r="G14" s="22">
        <f>IF(F14&lt;24,24,F14)</f>
        <v>66</v>
      </c>
      <c r="H14" s="17">
        <f t="shared" si="0"/>
        <v>160.75650118203308</v>
      </c>
      <c r="I14" s="48"/>
    </row>
    <row r="15" spans="1:9">
      <c r="A15" s="30" t="s">
        <v>40</v>
      </c>
      <c r="B15" s="28">
        <f xml:space="preserve"> 60+4*B5</f>
        <v>69.456264775413715</v>
      </c>
      <c r="C15" s="21">
        <f>C21-$B$7</f>
        <v>113.36879432624113</v>
      </c>
      <c r="D15" s="18">
        <f>ROUNDUP(B15/$B$5, 0) - 2</f>
        <v>28</v>
      </c>
      <c r="E15" s="18">
        <f>ROUNDUP(C15/$B$5, 0) - 2</f>
        <v>46</v>
      </c>
      <c r="F15" s="18">
        <f>IF(MOD(ROUNDUP((E15-D15)*($F$51/100)+D15, 0),2)=0, ROUNDUP((E15-D15)*($F$51/100)+D15, 0), ROUNDUP((E15-D15)*($F$51/100)+D15, 0)-1)</f>
        <v>30</v>
      </c>
      <c r="G15" s="22">
        <f>IF(F15&lt;0, 0, F15)</f>
        <v>30</v>
      </c>
      <c r="H15" s="17">
        <f t="shared" si="0"/>
        <v>75.650118203309688</v>
      </c>
      <c r="I15" s="48"/>
    </row>
    <row r="16" spans="1:9">
      <c r="A16" s="30" t="s">
        <v>41</v>
      </c>
      <c r="B16" s="28"/>
      <c r="C16" s="21"/>
      <c r="D16" s="18"/>
      <c r="E16" s="18"/>
      <c r="F16" s="18">
        <f>IF(MOD(ROUNDDOWN($B$6/$B$5, 0),2)=0, ROUNDDOWN($B$6/$B$5, 0)-2, ROUNDDOWN($B$6/$B$5,0))</f>
        <v>20</v>
      </c>
      <c r="G16" s="22">
        <f>IF(F16&lt;0, 0, F16)</f>
        <v>20</v>
      </c>
      <c r="H16" s="17">
        <f t="shared" si="0"/>
        <v>52.009456264775409</v>
      </c>
      <c r="I16" s="48"/>
    </row>
    <row r="17" spans="1:8">
      <c r="A17" s="30" t="s">
        <v>42</v>
      </c>
      <c r="B17" s="28">
        <v>100</v>
      </c>
      <c r="C17" s="21"/>
      <c r="D17" s="18">
        <f>ROUNDUP(B17/$B$5, 0) - 2</f>
        <v>41</v>
      </c>
      <c r="E17" s="18">
        <v>255</v>
      </c>
      <c r="F17" s="18">
        <f>IF(MOD(ROUNDUP((E17-D17)*($F$50/100)+D17, 0),2)=0, ROUNDUP((E17-D17)*($F$50/100)+D17, 0), ROUNDUP((E17-D17)*($F$50/100)+D17, 0)-1)</f>
        <v>62</v>
      </c>
      <c r="G17" s="22">
        <f>IF(F17&lt;0, 0, F17)</f>
        <v>62</v>
      </c>
      <c r="H17" s="17">
        <f t="shared" si="0"/>
        <v>151.30023640661938</v>
      </c>
    </row>
    <row r="18" spans="1:8">
      <c r="A18" s="30" t="s">
        <v>43</v>
      </c>
      <c r="B18" s="28">
        <f>4*B6</f>
        <v>208.33333333333334</v>
      </c>
      <c r="C18" s="21">
        <f>4*B6</f>
        <v>208.33333333333334</v>
      </c>
      <c r="D18" s="18"/>
      <c r="E18" s="18"/>
      <c r="F18" s="18">
        <f>B18</f>
        <v>208.33333333333334</v>
      </c>
      <c r="G18" s="22">
        <v>3</v>
      </c>
      <c r="H18" s="18">
        <f>(G18+1)*10^3/$B$4</f>
        <v>208.33333333333334</v>
      </c>
    </row>
    <row r="19" spans="1:8">
      <c r="A19" s="30" t="s">
        <v>45</v>
      </c>
      <c r="B19" s="28">
        <f>B6</f>
        <v>52.083333333333336</v>
      </c>
      <c r="C19" s="21">
        <f>2*B6</f>
        <v>104.16666666666667</v>
      </c>
      <c r="D19" s="18"/>
      <c r="E19" s="18"/>
      <c r="F19" s="18">
        <f>B19</f>
        <v>52.083333333333336</v>
      </c>
      <c r="G19" s="22">
        <v>0</v>
      </c>
      <c r="H19" s="18">
        <f>(G19+2)*10^3/$B$4</f>
        <v>104.16666666666667</v>
      </c>
    </row>
    <row r="20" spans="1:8">
      <c r="A20" s="30" t="s">
        <v>44</v>
      </c>
      <c r="B20" s="28">
        <f>5*B6</f>
        <v>260.41666666666669</v>
      </c>
      <c r="C20" s="21">
        <f>5*B6</f>
        <v>260.41666666666669</v>
      </c>
      <c r="D20" s="18"/>
      <c r="E20" s="18"/>
      <c r="F20" s="18">
        <f>B20</f>
        <v>260.41666666666669</v>
      </c>
      <c r="G20" s="22">
        <v>4</v>
      </c>
      <c r="H20" s="18">
        <f>(G20+1)*10^3/$B$4</f>
        <v>260.41666666666669</v>
      </c>
    </row>
    <row r="21" spans="1:8">
      <c r="A21" s="30" t="s">
        <v>90</v>
      </c>
      <c r="B21" s="28"/>
      <c r="C21" s="21">
        <f>105+12*$B$5</f>
        <v>133.36879432624113</v>
      </c>
      <c r="D21" s="18"/>
      <c r="E21" s="18"/>
      <c r="F21" s="18"/>
      <c r="G21" s="23"/>
      <c r="H21" s="18">
        <f>H15+$B$7/2</f>
        <v>85.650118203309688</v>
      </c>
    </row>
    <row r="22" spans="1:8">
      <c r="A22" s="30" t="s">
        <v>91</v>
      </c>
      <c r="B22" s="28"/>
      <c r="C22" s="21">
        <f>105+12*$B$5</f>
        <v>133.36879432624113</v>
      </c>
      <c r="D22" s="18"/>
      <c r="E22" s="18"/>
      <c r="F22" s="18"/>
      <c r="G22" s="23"/>
      <c r="H22" s="18">
        <f>H12 + $B$7/2</f>
        <v>76.193853427895974</v>
      </c>
    </row>
    <row r="23" spans="1:8">
      <c r="A23" s="30" t="s">
        <v>47</v>
      </c>
      <c r="B23" s="28">
        <f>60+52*B5</f>
        <v>182.93144208037825</v>
      </c>
      <c r="C23" s="21"/>
      <c r="D23" s="18">
        <f>ROUNDUP((B23-24*B5-H17)/(8*B5), 0)-1</f>
        <v>-3</v>
      </c>
      <c r="E23" s="18">
        <v>63</v>
      </c>
      <c r="F23" s="18">
        <f>ROUNDUP((E23-D23)*($F$50/100)+D23, 0)</f>
        <v>4</v>
      </c>
      <c r="G23" s="22">
        <f>IF(F23&lt;0, 0, F23)</f>
        <v>4</v>
      </c>
      <c r="H23" s="18">
        <f>(G23+1)*8*B5+H17+24*B5</f>
        <v>302.60047281323875</v>
      </c>
    </row>
    <row r="24" spans="1:8">
      <c r="A24" s="30" t="s">
        <v>48</v>
      </c>
      <c r="B24" s="28">
        <f>8*B5</f>
        <v>18.912529550827422</v>
      </c>
      <c r="C24" s="21"/>
      <c r="D24" s="18">
        <f>ROUNDUP((B24+$H$10+$H$11+$B$6)/(8*$B$5),0)-1</f>
        <v>21</v>
      </c>
      <c r="E24" s="18">
        <v>63</v>
      </c>
      <c r="F24" s="18">
        <f>IF(D24&gt;63, ROUNDUP((E24*2-D24)*($F$50/100)+D24, 0), ROUNDUP((E24-D24)*($F$50/100)+D24, 0))</f>
        <v>26</v>
      </c>
      <c r="G24" s="22">
        <f>IF(F24&lt;0, 0, IF(D24&gt;E24, ROUNDDOWN(F24/2, 0), F24))</f>
        <v>26</v>
      </c>
      <c r="H24" s="18">
        <f>IF(D24&gt;E24,(G24+1)*16*B5-B6-H10-H11,(G24+1)*8*B5-B6-H10-H11)</f>
        <v>118.12943262411352</v>
      </c>
    </row>
    <row r="25" spans="1:8">
      <c r="A25" s="30" t="s">
        <v>131</v>
      </c>
      <c r="B25" s="3"/>
      <c r="C25" s="3"/>
      <c r="D25" s="5"/>
      <c r="H25" s="18">
        <f>SUM(H10:H17) + SUM(H23:H24)  +B6+8*B5</f>
        <v>1399.5271867612291</v>
      </c>
    </row>
    <row r="26" spans="1:8">
      <c r="A26" s="30"/>
      <c r="B26" s="6"/>
      <c r="C26" s="6"/>
      <c r="D26" s="3"/>
      <c r="E26" s="3"/>
      <c r="F26" s="5"/>
      <c r="G26" s="4"/>
    </row>
    <row r="27" spans="1:8" ht="18">
      <c r="A27" s="69" t="s">
        <v>79</v>
      </c>
    </row>
    <row r="28" spans="1:8">
      <c r="A28" s="30" t="s">
        <v>153</v>
      </c>
      <c r="B28" s="31" t="s">
        <v>132</v>
      </c>
      <c r="C28" s="3"/>
    </row>
    <row r="29" spans="1:8">
      <c r="A29" s="30" t="s">
        <v>140</v>
      </c>
      <c r="B29" s="26" t="str">
        <f>IF(F11&gt;255, DEC2HEX(G11 - 255), DEC2HEX(G11))</f>
        <v>7A</v>
      </c>
      <c r="C29" s="13"/>
    </row>
    <row r="30" spans="1:8">
      <c r="A30" s="30" t="s">
        <v>141</v>
      </c>
      <c r="B30" s="26" t="str">
        <f>DEC2HEX(G12)</f>
        <v>1A</v>
      </c>
      <c r="C30" s="13"/>
    </row>
    <row r="31" spans="1:8">
      <c r="A31" s="30" t="s">
        <v>142</v>
      </c>
      <c r="B31" s="26" t="str">
        <f>DEC2HEX(G10)</f>
        <v>12</v>
      </c>
      <c r="C31" s="13"/>
    </row>
    <row r="32" spans="1:8">
      <c r="A32" s="30" t="s">
        <v>143</v>
      </c>
      <c r="B32" s="70">
        <f>IF(F11&gt;255, 1, 0)</f>
        <v>0</v>
      </c>
      <c r="C32" s="13"/>
    </row>
    <row r="33" spans="1:7">
      <c r="A33" s="30" t="s">
        <v>144</v>
      </c>
      <c r="B33" s="26" t="str">
        <f>DEC2HEX(G17)</f>
        <v>3E</v>
      </c>
      <c r="C33" s="13"/>
    </row>
    <row r="34" spans="1:7">
      <c r="A34" s="30" t="s">
        <v>145</v>
      </c>
      <c r="B34" s="26" t="str">
        <f>DEC2HEX(G14)</f>
        <v>42</v>
      </c>
      <c r="C34" s="13"/>
      <c r="G34" s="14" t="s">
        <v>88</v>
      </c>
    </row>
    <row r="35" spans="1:7">
      <c r="A35" s="30" t="s">
        <v>146</v>
      </c>
      <c r="B35" s="26" t="str">
        <f>DEC2HEX(G13)</f>
        <v>16</v>
      </c>
      <c r="C35" s="13"/>
    </row>
    <row r="36" spans="1:7">
      <c r="A36" s="30" t="s">
        <v>147</v>
      </c>
      <c r="B36" s="26" t="str">
        <f>DEC2HEX(G15)</f>
        <v>1E</v>
      </c>
      <c r="C36" s="13"/>
    </row>
    <row r="37" spans="1:7">
      <c r="A37" s="30" t="s">
        <v>148</v>
      </c>
      <c r="B37" s="26" t="str">
        <f>DEC2HEX(G16)</f>
        <v>14</v>
      </c>
      <c r="C37" s="13"/>
    </row>
    <row r="38" spans="1:7">
      <c r="A38" s="30" t="s">
        <v>149</v>
      </c>
      <c r="B38" s="26" t="str">
        <f>DEC2HEX(G19*2^4+G18)</f>
        <v>3</v>
      </c>
      <c r="C38" s="13"/>
    </row>
    <row r="39" spans="1:7">
      <c r="A39" s="30" t="s">
        <v>150</v>
      </c>
      <c r="B39" s="26" t="str">
        <f>DEC2HEX(G20)</f>
        <v>4</v>
      </c>
      <c r="C39" s="13"/>
    </row>
    <row r="40" spans="1:7">
      <c r="A40" s="26"/>
      <c r="C40" s="13"/>
    </row>
    <row r="41" spans="1:7" ht="18">
      <c r="A41" s="71" t="s">
        <v>81</v>
      </c>
      <c r="B41" s="26"/>
    </row>
    <row r="42" spans="1:7">
      <c r="A42" s="30" t="s">
        <v>151</v>
      </c>
      <c r="B42" s="26" t="str">
        <f>DEC2HEX(G23*256+G24)</f>
        <v>41A</v>
      </c>
      <c r="C42" s="13"/>
    </row>
    <row r="43" spans="1:7">
      <c r="A43" s="30" t="s">
        <v>152</v>
      </c>
      <c r="B43" s="70">
        <f>IF(E24 &lt; D24, 1, 0)</f>
        <v>0</v>
      </c>
    </row>
    <row r="48" spans="1:7">
      <c r="E48" s="15" t="s">
        <v>98</v>
      </c>
      <c r="F48" s="14">
        <v>10</v>
      </c>
    </row>
    <row r="49" spans="5:6">
      <c r="E49" s="15" t="s">
        <v>99</v>
      </c>
      <c r="F49" s="14">
        <f>IF($B$3&gt;1200, 15, 10)</f>
        <v>10</v>
      </c>
    </row>
    <row r="50" spans="5:6">
      <c r="E50" s="15" t="s">
        <v>93</v>
      </c>
      <c r="F50" s="14">
        <v>10</v>
      </c>
    </row>
    <row r="51" spans="5:6">
      <c r="E51" s="15" t="s">
        <v>94</v>
      </c>
      <c r="F51" s="14">
        <f>IF($B$3&gt;180, 10, 40)</f>
        <v>10</v>
      </c>
    </row>
  </sheetData>
  <mergeCells count="3">
    <mergeCell ref="B8:C8"/>
    <mergeCell ref="D8:F8"/>
    <mergeCell ref="H8:H9"/>
  </mergeCells>
  <phoneticPr fontId="51" type="noConversion"/>
  <conditionalFormatting sqref="G10">
    <cfRule type="cellIs" dxfId="3" priority="4" operator="equal">
      <formula>IF(G4="INVALID",0)</formula>
    </cfRule>
  </conditionalFormatting>
  <conditionalFormatting sqref="G4">
    <cfRule type="cellIs" dxfId="2" priority="1" operator="equal">
      <formula>"VALID"</formula>
    </cfRule>
    <cfRule type="cellIs" dxfId="1" priority="3" operator="equal">
      <formula>"INVALID"</formula>
    </cfRule>
  </conditionalFormatting>
  <conditionalFormatting sqref="G11">
    <cfRule type="cellIs" dxfId="0" priority="2" operator="equal">
      <formula>"INVALID"</formula>
    </cfRule>
  </conditionalFormatting>
  <pageMargins left="0.75" right="0.75" top="0.5" bottom="0.5" header="0.3" footer="0.3"/>
  <pageSetup scale="51" fitToHeight="0" orientation="portrait" r:id="rId1"/>
  <headerFooter scaleWithDoc="0">
    <oddFooter>&amp;L&amp;8      80-NH713-1 R&amp;C&amp;8 &amp;P&amp;"Arial,Bold" MAY CONTAIN U.S. AND INTERNATIONAL EXPORT CONTROLLED INFORMATION&amp;R&amp;8 Confidential and Proprietary - Qualcomm Technologies, Inc.</oddFooter>
  </headerFooter>
</worksheet>
</file>

<file path=xl/worksheets/sheet6.xml><?xml version="1.0" encoding="utf-8"?>
<worksheet xmlns="http://schemas.openxmlformats.org/spreadsheetml/2006/main" xmlns:r="http://schemas.openxmlformats.org/officeDocument/2006/relationships">
  <sheetPr codeName="Sheet3">
    <pageSetUpPr fitToPage="1"/>
  </sheetPr>
  <dimension ref="A1:I70"/>
  <sheetViews>
    <sheetView view="pageBreakPreview" topLeftCell="A4" zoomScaleNormal="70" zoomScaleSheetLayoutView="100" workbookViewId="0">
      <selection activeCell="I91" sqref="I91"/>
    </sheetView>
  </sheetViews>
  <sheetFormatPr defaultRowHeight="12.75"/>
  <cols>
    <col min="1" max="1" width="40.140625" customWidth="1"/>
    <col min="2" max="2" width="13.85546875" customWidth="1"/>
    <col min="3" max="3" width="12.7109375" customWidth="1"/>
    <col min="4" max="4" width="9.28515625" customWidth="1"/>
    <col min="6" max="6" width="15.85546875" customWidth="1"/>
    <col min="7" max="7" width="25.5703125" customWidth="1"/>
    <col min="8" max="8" width="19.85546875" customWidth="1"/>
  </cols>
  <sheetData>
    <row r="1" spans="1:9" ht="18">
      <c r="A1" s="8" t="s">
        <v>80</v>
      </c>
      <c r="B1" s="14"/>
      <c r="C1" s="14"/>
      <c r="D1" s="14"/>
      <c r="E1" s="14"/>
      <c r="F1" s="14"/>
      <c r="G1" s="14"/>
      <c r="H1" s="14"/>
    </row>
    <row r="2" spans="1:9" ht="18">
      <c r="A2" s="12" t="s">
        <v>129</v>
      </c>
      <c r="B2" s="11"/>
      <c r="C2" s="14"/>
      <c r="D2" s="14"/>
      <c r="E2" s="14"/>
      <c r="F2" s="14"/>
      <c r="G2" s="16"/>
      <c r="H2" s="14"/>
    </row>
    <row r="3" spans="1:9">
      <c r="A3" s="24" t="s">
        <v>96</v>
      </c>
      <c r="B3" s="67">
        <f>ROUNDDOWN('DSI and MDP registers'!C99, 0)</f>
        <v>423</v>
      </c>
      <c r="C3" s="14" t="s">
        <v>97</v>
      </c>
      <c r="D3" s="14"/>
      <c r="E3" s="14"/>
      <c r="F3" s="14"/>
      <c r="G3" s="14"/>
      <c r="H3" s="14"/>
    </row>
    <row r="4" spans="1:9">
      <c r="A4" s="24" t="s">
        <v>33</v>
      </c>
      <c r="B4" s="68">
        <f>'DSI and MDP registers'!C21/'DSI and MDP registers'!C22</f>
        <v>19.2</v>
      </c>
      <c r="C4" s="14" t="s">
        <v>15</v>
      </c>
      <c r="D4" s="14"/>
      <c r="E4" s="14"/>
      <c r="F4" s="14"/>
      <c r="G4" s="14"/>
      <c r="H4" s="14"/>
    </row>
    <row r="5" spans="1:9">
      <c r="A5" s="24" t="s">
        <v>36</v>
      </c>
      <c r="B5" s="25">
        <f>10^3/B3</f>
        <v>2.3640661938534278</v>
      </c>
      <c r="C5" s="14" t="s">
        <v>37</v>
      </c>
      <c r="D5" s="14"/>
      <c r="E5" s="14"/>
      <c r="F5" s="14"/>
      <c r="G5" s="14"/>
      <c r="H5" s="14"/>
    </row>
    <row r="6" spans="1:9">
      <c r="A6" s="24" t="s">
        <v>46</v>
      </c>
      <c r="B6" s="18">
        <f>10^3/B4</f>
        <v>52.083333333333336</v>
      </c>
      <c r="C6" s="14" t="s">
        <v>37</v>
      </c>
      <c r="D6" s="14"/>
      <c r="E6" s="14"/>
      <c r="F6" s="14"/>
      <c r="G6" s="14"/>
      <c r="H6" s="14"/>
    </row>
    <row r="7" spans="1:9">
      <c r="A7" s="24" t="s">
        <v>89</v>
      </c>
      <c r="B7" s="26">
        <v>20</v>
      </c>
      <c r="C7" s="14" t="s">
        <v>37</v>
      </c>
      <c r="D7" s="14"/>
      <c r="E7" s="14"/>
      <c r="F7" s="14"/>
      <c r="G7" s="14"/>
      <c r="H7" s="14"/>
    </row>
    <row r="8" spans="1:9">
      <c r="A8" s="29"/>
      <c r="B8" s="138" t="s">
        <v>92</v>
      </c>
      <c r="C8" s="139"/>
      <c r="D8" s="140" t="s">
        <v>77</v>
      </c>
      <c r="E8" s="140"/>
      <c r="F8" s="140"/>
      <c r="G8" s="77" t="s">
        <v>130</v>
      </c>
      <c r="H8" s="141" t="s">
        <v>186</v>
      </c>
    </row>
    <row r="9" spans="1:9">
      <c r="A9" s="30"/>
      <c r="B9" s="27" t="s">
        <v>50</v>
      </c>
      <c r="C9" s="19" t="s">
        <v>51</v>
      </c>
      <c r="D9" s="76" t="s">
        <v>63</v>
      </c>
      <c r="E9" s="76" t="s">
        <v>64</v>
      </c>
      <c r="F9" s="20"/>
      <c r="G9" s="77" t="s">
        <v>49</v>
      </c>
      <c r="H9" s="142"/>
    </row>
    <row r="10" spans="1:9">
      <c r="A10" s="30" t="s">
        <v>32</v>
      </c>
      <c r="B10" s="28">
        <v>38</v>
      </c>
      <c r="C10" s="21">
        <v>95</v>
      </c>
      <c r="D10" s="18">
        <f>MAX(ROUNDUP((B10/$B$5-$F$11*4-$F$28*2)/8, 0),0)</f>
        <v>3</v>
      </c>
      <c r="E10" s="18">
        <f>MAX(ROUNDDOWN((C10/$B$5-$F$11*4-$F$28*2)/8, 0),0)</f>
        <v>5</v>
      </c>
      <c r="F10" s="18">
        <f>ROUNDUP((E10-D10)*($F$63/100)+D10, 0)</f>
        <v>4</v>
      </c>
      <c r="G10" s="22">
        <f t="shared" ref="G10:G16" si="0">IF(F10&lt;0, 0, F10)</f>
        <v>4</v>
      </c>
      <c r="H10" s="17">
        <f>(G10*8 +G11*4+G28*2)*$B$5</f>
        <v>75.650118203309688</v>
      </c>
      <c r="I10" s="14" t="str">
        <f>IF(OR(H10&lt;B10, H10&gt;C10), "fail", "")</f>
        <v/>
      </c>
    </row>
    <row r="11" spans="1:9" s="14" customFormat="1" ht="38.25">
      <c r="A11" s="84" t="s">
        <v>181</v>
      </c>
      <c r="B11" s="28"/>
      <c r="C11" s="21"/>
      <c r="D11" s="18"/>
      <c r="E11" s="18"/>
      <c r="F11" s="18">
        <v>0</v>
      </c>
      <c r="G11" s="22">
        <f t="shared" si="0"/>
        <v>0</v>
      </c>
      <c r="H11" s="17"/>
    </row>
    <row r="12" spans="1:9">
      <c r="A12" s="30" t="s">
        <v>34</v>
      </c>
      <c r="B12" s="28">
        <f>300-H10</f>
        <v>224.34988179669031</v>
      </c>
      <c r="C12" s="21"/>
      <c r="D12" s="18">
        <f>ROUNDUP((B12/$B$5-11)/8, 0) - 3</f>
        <v>8</v>
      </c>
      <c r="E12" s="18">
        <f>IF(D12&gt; 255, 511, 255)</f>
        <v>255</v>
      </c>
      <c r="F12" s="18">
        <f>ROUNDUP((E12-D12)*($F$68/100)+D12, 0)</f>
        <v>13</v>
      </c>
      <c r="G12" s="22">
        <f t="shared" si="0"/>
        <v>13</v>
      </c>
      <c r="H12" s="17">
        <f>((G12+3)*8+11-G28*2)*$B$5</f>
        <v>328.60520094562645</v>
      </c>
      <c r="I12" s="14" t="str">
        <f t="shared" ref="I12:I15" si="1">IF(H12&lt;B12, "fail", "")</f>
        <v/>
      </c>
    </row>
    <row r="13" spans="1:9">
      <c r="A13" s="30" t="s">
        <v>35</v>
      </c>
      <c r="B13" s="28">
        <v>60</v>
      </c>
      <c r="C13" s="21">
        <f>C24-$B$7</f>
        <v>113.36879432624113</v>
      </c>
      <c r="D13" s="18">
        <f>ROUNDUP((B13/$B$5+3)/8, 0)</f>
        <v>4</v>
      </c>
      <c r="E13" s="18">
        <f>ROUNDDOWN((C13/$B$5+3)/8, 0)</f>
        <v>6</v>
      </c>
      <c r="F13" s="18">
        <f>ROUNDUP((E13-D13)*($F$66/100)+D13, 0)</f>
        <v>5</v>
      </c>
      <c r="G13" s="22">
        <f t="shared" si="0"/>
        <v>5</v>
      </c>
      <c r="H13" s="17">
        <f>(G13*8-3)*$B$5</f>
        <v>87.470449172576821</v>
      </c>
      <c r="I13" s="14" t="str">
        <f t="shared" ref="I13:I14" si="2">IF(OR(H13&lt;B13, H13&gt;C13), "fail", "")</f>
        <v/>
      </c>
    </row>
    <row r="14" spans="1:9">
      <c r="A14" s="30" t="s">
        <v>38</v>
      </c>
      <c r="B14" s="28">
        <f>40+4*B5</f>
        <v>49.456264775413715</v>
      </c>
      <c r="C14" s="21">
        <f>85+6*B5</f>
        <v>99.184397163120565</v>
      </c>
      <c r="D14" s="18">
        <f>MAX(ROUNDUP((B14/$B$5-$F$18*4-$F$29*2)/8, 0),0)</f>
        <v>3</v>
      </c>
      <c r="E14" s="18">
        <f>MAX(ROUNDDOWN((C14/$B$5-$F$18*4-$F$29*2)/8, 0),0)</f>
        <v>5</v>
      </c>
      <c r="F14" s="18">
        <f>ROUNDUP((E14-D14)*($F$64/100)+D14, 0)</f>
        <v>4</v>
      </c>
      <c r="G14" s="22">
        <f t="shared" si="0"/>
        <v>4</v>
      </c>
      <c r="H14" s="17">
        <f>(G14*8+G18*4+G29*2)*$B$5</f>
        <v>75.650118203309688</v>
      </c>
      <c r="I14" s="14" t="str">
        <f t="shared" si="2"/>
        <v/>
      </c>
    </row>
    <row r="15" spans="1:9">
      <c r="A15" s="30" t="s">
        <v>39</v>
      </c>
      <c r="B15" s="28">
        <f>145+10*B5-H14</f>
        <v>92.990543735224577</v>
      </c>
      <c r="C15" s="21"/>
      <c r="D15" s="18">
        <f>ROUNDUP((B15/$B$5 - 11)/8, 0) - 3</f>
        <v>1</v>
      </c>
      <c r="E15" s="18">
        <v>255</v>
      </c>
      <c r="F15" s="18">
        <f>ROUNDUP((E15-D15)*($F$67/100)+D15, 0)</f>
        <v>27</v>
      </c>
      <c r="G15" s="22">
        <f t="shared" si="0"/>
        <v>27</v>
      </c>
      <c r="H15" s="17">
        <f>((G15+3)*8+11-2*G29)*$B$5</f>
        <v>593.38061465721034</v>
      </c>
      <c r="I15" s="14" t="str">
        <f t="shared" si="1"/>
        <v/>
      </c>
    </row>
    <row r="16" spans="1:9">
      <c r="A16" s="30" t="s">
        <v>40</v>
      </c>
      <c r="B16" s="28">
        <f xml:space="preserve"> 60+4*B5</f>
        <v>69.456264775413715</v>
      </c>
      <c r="C16" s="21">
        <f>C23-$B$7</f>
        <v>113.36879432624113</v>
      </c>
      <c r="D16" s="18">
        <f>ROUNDUP((B16/$B$5+3)/8, 0)</f>
        <v>5</v>
      </c>
      <c r="E16" s="18">
        <f>ROUNDDOWN((C16/$B$5+3)/8, 0)</f>
        <v>6</v>
      </c>
      <c r="F16" s="18">
        <f>ROUNDUP((E16-D16)*($F$66/100)+D16, 0)</f>
        <v>6</v>
      </c>
      <c r="G16" s="22">
        <f t="shared" si="0"/>
        <v>6</v>
      </c>
      <c r="H16" s="17">
        <f>(G16*8-3)*$B$5</f>
        <v>106.38297872340425</v>
      </c>
      <c r="I16" s="14" t="str">
        <f>IF(OR(H16&lt;B16, H16&gt;C16), "fail", "")</f>
        <v/>
      </c>
    </row>
    <row r="17" spans="1:9">
      <c r="A17" s="30" t="s">
        <v>170</v>
      </c>
      <c r="B17" s="28">
        <v>50</v>
      </c>
      <c r="C17" s="21"/>
      <c r="D17" s="18"/>
      <c r="E17" s="18"/>
      <c r="F17" s="18">
        <f>MAX(ROUNDUP((B17/B5+4*F18-8)/8, 0), 0)</f>
        <v>2</v>
      </c>
      <c r="G17" s="22">
        <f>IF(F17&lt;0, 0, F17)</f>
        <v>2</v>
      </c>
      <c r="H17" s="17">
        <f>IF(G18=0, (G17+1)*$B$5*8, (G17+0.5)*$B$5*8)</f>
        <v>56.737588652482266</v>
      </c>
      <c r="I17" t="str">
        <f>IF(H17&lt;B17, "fail", "")</f>
        <v/>
      </c>
    </row>
    <row r="18" spans="1:9" s="14" customFormat="1" ht="38.25">
      <c r="A18" s="84" t="s">
        <v>188</v>
      </c>
      <c r="B18" s="28"/>
      <c r="C18" s="21"/>
      <c r="D18" s="18"/>
      <c r="E18" s="18"/>
      <c r="F18" s="18">
        <v>0</v>
      </c>
      <c r="G18" s="22">
        <f>IF(F18&lt;0, 0, F18)</f>
        <v>0</v>
      </c>
      <c r="H18" s="17"/>
    </row>
    <row r="19" spans="1:9">
      <c r="A19" s="30" t="s">
        <v>42</v>
      </c>
      <c r="B19" s="28">
        <v>100</v>
      </c>
      <c r="C19" s="21"/>
      <c r="D19" s="18">
        <f t="shared" ref="D19" si="3">ROUNDUP(B19/$B$5/8, 0) - 1</f>
        <v>5</v>
      </c>
      <c r="E19" s="18">
        <v>255</v>
      </c>
      <c r="F19" s="18">
        <f>ROUNDUP((E19-D19)*($F$65/100)+D19, 0)</f>
        <v>30</v>
      </c>
      <c r="G19" s="22">
        <f>IF(F19&lt;0, 0, F19)</f>
        <v>30</v>
      </c>
      <c r="H19" s="17">
        <f t="shared" ref="H19" si="4">(G19+1)*$B$5*8</f>
        <v>586.28841607565005</v>
      </c>
      <c r="I19" s="14" t="str">
        <f>IF(H19&lt;B19, "fail", "")</f>
        <v/>
      </c>
    </row>
    <row r="20" spans="1:9">
      <c r="A20" s="30" t="s">
        <v>43</v>
      </c>
      <c r="B20" s="28">
        <f>4*B6</f>
        <v>208.33333333333334</v>
      </c>
      <c r="C20" s="21">
        <f>4*B6</f>
        <v>208.33333333333334</v>
      </c>
      <c r="D20" s="18"/>
      <c r="E20" s="18"/>
      <c r="F20" s="18">
        <f>B20</f>
        <v>208.33333333333334</v>
      </c>
      <c r="G20" s="22">
        <v>3</v>
      </c>
      <c r="H20" s="18">
        <f>(G20+1)*10^3/$B$4</f>
        <v>208.33333333333334</v>
      </c>
    </row>
    <row r="21" spans="1:9">
      <c r="A21" s="30" t="s">
        <v>45</v>
      </c>
      <c r="B21" s="28">
        <f>B6</f>
        <v>52.083333333333336</v>
      </c>
      <c r="C21" s="21">
        <f>2*B6</f>
        <v>104.16666666666667</v>
      </c>
      <c r="D21" s="18"/>
      <c r="E21" s="18"/>
      <c r="F21" s="18">
        <f>B21</f>
        <v>52.083333333333336</v>
      </c>
      <c r="G21" s="22">
        <v>0</v>
      </c>
      <c r="H21" s="18">
        <f>(G21+2)*10^3/$B$4</f>
        <v>104.16666666666667</v>
      </c>
    </row>
    <row r="22" spans="1:9">
      <c r="A22" s="30" t="s">
        <v>44</v>
      </c>
      <c r="B22" s="28">
        <f>5*B6</f>
        <v>260.41666666666669</v>
      </c>
      <c r="C22" s="21">
        <f>5*B6</f>
        <v>260.41666666666669</v>
      </c>
      <c r="D22" s="18"/>
      <c r="E22" s="18"/>
      <c r="F22" s="18">
        <f>B22</f>
        <v>260.41666666666669</v>
      </c>
      <c r="G22" s="22">
        <v>4</v>
      </c>
      <c r="H22" s="18">
        <f>(G22+1)*10^3/$B$4</f>
        <v>260.41666666666669</v>
      </c>
    </row>
    <row r="23" spans="1:9">
      <c r="A23" s="30" t="s">
        <v>90</v>
      </c>
      <c r="B23" s="28"/>
      <c r="C23" s="21">
        <f>105+12*$B$5</f>
        <v>133.36879432624113</v>
      </c>
      <c r="D23" s="18"/>
      <c r="E23" s="18"/>
      <c r="F23" s="18"/>
      <c r="G23" s="23"/>
      <c r="H23" s="18">
        <f>H16+$B$7/2</f>
        <v>116.38297872340425</v>
      </c>
    </row>
    <row r="24" spans="1:9">
      <c r="A24" s="30" t="s">
        <v>91</v>
      </c>
      <c r="B24" s="28"/>
      <c r="C24" s="21">
        <f>105+12*$B$5</f>
        <v>133.36879432624113</v>
      </c>
      <c r="D24" s="18"/>
      <c r="E24" s="18"/>
      <c r="F24" s="18"/>
      <c r="G24" s="23"/>
      <c r="H24" s="18">
        <f>H13 + $B$7/2</f>
        <v>97.470449172576821</v>
      </c>
      <c r="I24" s="14"/>
    </row>
    <row r="25" spans="1:9">
      <c r="A25" s="30" t="s">
        <v>47</v>
      </c>
      <c r="B25" s="28">
        <f>60+52*B5</f>
        <v>182.93144208037825</v>
      </c>
      <c r="C25" s="21"/>
      <c r="D25" s="18">
        <f>ROUNDUP((B25-43*B5)/(8*B5), 0)-1</f>
        <v>4</v>
      </c>
      <c r="E25" s="18">
        <v>63</v>
      </c>
      <c r="F25" s="18">
        <f>ROUNDUP((E25-D25)*($F$65/100)+D25, 0)</f>
        <v>10</v>
      </c>
      <c r="G25" s="22">
        <f>IF(F25&lt;0, 0, F25)</f>
        <v>10</v>
      </c>
      <c r="H25" s="18">
        <f>(G25+1)*8*B5+72*B5+H19</f>
        <v>964.53900709219852</v>
      </c>
    </row>
    <row r="26" spans="1:9">
      <c r="A26" s="30" t="s">
        <v>48</v>
      </c>
      <c r="B26" s="28">
        <f>8*B5</f>
        <v>18.912529550827422</v>
      </c>
      <c r="C26" s="21"/>
      <c r="D26" s="18">
        <f>ROUNDUP((B26+$H$10+$H$12+H27)/(8*$B$5),0)-1</f>
        <v>25</v>
      </c>
      <c r="E26" s="18">
        <v>63</v>
      </c>
      <c r="F26" s="18">
        <f>IF(D26&gt;63, ROUNDUP((E26*2-D26)*($F$65/100)+D26, 0), ROUNDUP((E26-D26)*($F$65/100)+D26, 0))</f>
        <v>29</v>
      </c>
      <c r="G26" s="22">
        <f>IF(F26&lt;0, 0, IF(D26&gt;E26, ROUNDDOWN(F26/2, 0), F26))</f>
        <v>29</v>
      </c>
      <c r="H26" s="18">
        <f>IF(D26&gt;E26,(G26+1)*16*B5-H27-H10-H12,(G26+1)*8*B5-H27-H10-H12)</f>
        <v>106.38297872340428</v>
      </c>
    </row>
    <row r="27" spans="1:9" s="14" customFormat="1">
      <c r="A27" s="30" t="s">
        <v>182</v>
      </c>
      <c r="B27" s="28">
        <v>50</v>
      </c>
      <c r="C27" s="21"/>
      <c r="D27" s="18"/>
      <c r="E27" s="18"/>
      <c r="F27" s="18">
        <f>MAX(ROUNDUP((B27/$B$5+4*$F$11-8)/8, 0), 0)</f>
        <v>2</v>
      </c>
      <c r="G27" s="22">
        <f>IF(F27&lt;0, 0, F27)</f>
        <v>2</v>
      </c>
      <c r="H27" s="17">
        <f>IF(G11=0, (G27+1)*$B$5*8, (G27+0.5)*$B$5*8)</f>
        <v>56.737588652482266</v>
      </c>
      <c r="I27" s="14" t="str">
        <f>IF(H27&lt;B27, "fail", "")</f>
        <v/>
      </c>
    </row>
    <row r="28" spans="1:9" s="14" customFormat="1" ht="25.5">
      <c r="A28" s="81" t="s">
        <v>183</v>
      </c>
      <c r="B28" s="85"/>
      <c r="C28" s="85"/>
      <c r="D28" s="86"/>
      <c r="E28" s="86"/>
      <c r="F28" s="18">
        <f>IF(B3&gt;100, 0, 3)</f>
        <v>0</v>
      </c>
      <c r="G28" s="22">
        <f t="shared" ref="G28" si="5">IF(F28&lt;0, 0, F28)</f>
        <v>0</v>
      </c>
      <c r="H28" s="17"/>
    </row>
    <row r="29" spans="1:9" s="14" customFormat="1" ht="25.5">
      <c r="A29" s="81" t="s">
        <v>187</v>
      </c>
      <c r="B29" s="85"/>
      <c r="C29" s="85"/>
      <c r="D29" s="86"/>
      <c r="E29" s="86"/>
      <c r="F29" s="18">
        <f>IF(B3&gt;120, 0, 1)</f>
        <v>0</v>
      </c>
      <c r="G29" s="22">
        <f t="shared" ref="G29" si="6">IF(F29&lt;0, 0, F29)</f>
        <v>0</v>
      </c>
      <c r="H29" s="17"/>
    </row>
    <row r="30" spans="1:9">
      <c r="A30" s="30" t="s">
        <v>131</v>
      </c>
      <c r="B30" s="3"/>
      <c r="C30" s="3"/>
      <c r="D30" s="5"/>
      <c r="E30" s="14"/>
      <c r="F30" s="14"/>
      <c r="G30" s="14"/>
      <c r="H30" s="18">
        <f>SUM(H10:H17) +  H19+SUM(H25:H27)  +B6+8*B5</f>
        <v>3108.8209219858159</v>
      </c>
    </row>
    <row r="31" spans="1:9">
      <c r="A31" s="129"/>
      <c r="B31" s="3"/>
      <c r="C31" s="3"/>
      <c r="D31" s="5"/>
      <c r="E31" s="14"/>
      <c r="F31" s="14"/>
      <c r="G31" s="14"/>
      <c r="H31" s="86"/>
    </row>
    <row r="32" spans="1:9" ht="15.75">
      <c r="A32" s="130" t="s">
        <v>279</v>
      </c>
      <c r="B32" s="143" t="s">
        <v>270</v>
      </c>
      <c r="C32" s="139"/>
      <c r="D32" s="140" t="s">
        <v>77</v>
      </c>
      <c r="E32" s="140"/>
      <c r="F32" s="140"/>
      <c r="G32" s="77" t="s">
        <v>130</v>
      </c>
      <c r="H32" s="144" t="s">
        <v>186</v>
      </c>
    </row>
    <row r="33" spans="1:9">
      <c r="A33" s="30"/>
      <c r="B33" s="27" t="s">
        <v>50</v>
      </c>
      <c r="C33" s="19" t="s">
        <v>51</v>
      </c>
      <c r="D33" s="124" t="s">
        <v>63</v>
      </c>
      <c r="E33" s="124" t="s">
        <v>64</v>
      </c>
      <c r="F33" s="20"/>
      <c r="G33" s="77"/>
      <c r="H33" s="145"/>
    </row>
    <row r="34" spans="1:9">
      <c r="A34" s="30" t="s">
        <v>268</v>
      </c>
      <c r="B34" s="31">
        <f>IF(B3&gt;1500, B5*(2^15), 0)</f>
        <v>0</v>
      </c>
      <c r="C34" s="31">
        <f>IF(B3&gt;1500, 100*1000, 0)</f>
        <v>0</v>
      </c>
      <c r="D34" s="128">
        <f>IF(B3&gt;1500, ROUNDUP((B34+500)/(8*$B$5),0), 0)</f>
        <v>0</v>
      </c>
      <c r="E34" s="128">
        <f>IF(B3&gt;1500, ROUNDUP((C34+500)/(8*$B$5),0), 0)</f>
        <v>0</v>
      </c>
      <c r="F34" s="26">
        <f>ROUNDUP((E34-D34)*($F$69/100)+D34, 0)</f>
        <v>0</v>
      </c>
      <c r="G34" s="26">
        <f>IF(F34&lt;0, 0, F34)</f>
        <v>0</v>
      </c>
      <c r="H34" s="18">
        <f>IF(G34&gt;0, G34*8*B5-1000, 0)</f>
        <v>0</v>
      </c>
      <c r="I34" s="14" t="str">
        <f>IF(OR(H34&lt;B34, H34&gt;C34), "fail", "")</f>
        <v/>
      </c>
    </row>
    <row r="35" spans="1:9">
      <c r="A35" s="30" t="s">
        <v>269</v>
      </c>
      <c r="B35" s="31">
        <f>IF(B3&gt;1500, B5*(2^12), 0)</f>
        <v>0</v>
      </c>
      <c r="C35" s="31">
        <f>IF(B3&gt;1500,         MIN(10,                   IF(AND('DSI and MDP registers'!C107&lt;5, 'DSI and MDP registers'!C30=1),                        'DSI and MDP registers'!C107-2*((H14+H15+H16+H17+H19)/1000),                        'DSI and MDP registers'!C107-2*(H30/1000)                       )                   )*1000,          0)</f>
        <v>0</v>
      </c>
      <c r="D35" s="128">
        <f>IF(B3&gt;1500,        ROUNDUP((B35+H14+H15+H17)/(8*$B$5),0),      0)</f>
        <v>0</v>
      </c>
      <c r="E35" s="128">
        <f>IF(B3&gt;1500,        ROUNDUP((C35+H14+H15+H17)/(8*$B$5),0),      0)</f>
        <v>0</v>
      </c>
      <c r="F35" s="26">
        <f>ROUNDUP((E35-D35)*($F$70/100)+D35, 0)</f>
        <v>0</v>
      </c>
      <c r="G35" s="26">
        <f>IF(F35&lt;0, 0, F35)</f>
        <v>0</v>
      </c>
      <c r="H35" s="18">
        <f>IF(G35&gt;0, G35*8*B5-H15-H14-H17, 0)</f>
        <v>0</v>
      </c>
      <c r="I35" s="14" t="str">
        <f>IF(OR(H35&lt;B35,             H35&gt;C35,             IF(AND('DSI and MDP registers'!C107&lt;5, 'DSI and MDP registers'!C30=1),                 (H35+2*(H14+H15+H16+H17+H19)&gt;'DSI and MDP registers'!C107*1000),                 (H35+2*H30&gt;'DSI and MDP registers'!C107*1000)                )             ),        "fail",        ""      )</f>
        <v/>
      </c>
    </row>
    <row r="36" spans="1:9">
      <c r="A36" s="30"/>
      <c r="B36" s="6"/>
      <c r="C36" s="6"/>
      <c r="D36" s="3"/>
      <c r="E36" s="3"/>
      <c r="F36" s="5"/>
      <c r="G36" s="4"/>
      <c r="H36" s="14"/>
    </row>
    <row r="37" spans="1:9" ht="18">
      <c r="A37" s="69" t="s">
        <v>179</v>
      </c>
      <c r="B37" s="14"/>
      <c r="C37" s="14"/>
      <c r="D37" s="14"/>
      <c r="E37" s="14"/>
      <c r="F37" s="14"/>
      <c r="G37" s="14"/>
      <c r="H37" s="14"/>
    </row>
    <row r="38" spans="1:9">
      <c r="A38" s="30" t="s">
        <v>178</v>
      </c>
      <c r="B38" s="31" t="s">
        <v>132</v>
      </c>
      <c r="C38" s="3"/>
      <c r="D38" s="14"/>
      <c r="E38" s="14"/>
      <c r="F38" s="14"/>
      <c r="G38" s="14"/>
      <c r="H38" s="14"/>
    </row>
    <row r="39" spans="1:9">
      <c r="A39" s="30" t="s">
        <v>157</v>
      </c>
      <c r="B39" s="26" t="str">
        <f>DEC2HEX(G19)</f>
        <v>1E</v>
      </c>
      <c r="C39" s="13" t="s">
        <v>168</v>
      </c>
      <c r="D39" s="14"/>
      <c r="E39" s="14"/>
      <c r="F39" s="14"/>
      <c r="G39" s="14"/>
      <c r="H39" s="14"/>
    </row>
    <row r="40" spans="1:9">
      <c r="A40" s="30" t="s">
        <v>158</v>
      </c>
      <c r="B40" s="26" t="str">
        <f>DEC2HEX(G12)</f>
        <v>D</v>
      </c>
      <c r="C40" s="13" t="s">
        <v>34</v>
      </c>
      <c r="D40" s="14"/>
      <c r="E40" s="14"/>
      <c r="F40" s="14"/>
      <c r="G40" s="14"/>
      <c r="H40" s="14"/>
    </row>
    <row r="41" spans="1:9">
      <c r="A41" s="30" t="s">
        <v>159</v>
      </c>
      <c r="B41" s="26" t="str">
        <f>DEC2HEX(G10)</f>
        <v>4</v>
      </c>
      <c r="C41" s="13" t="s">
        <v>169</v>
      </c>
      <c r="D41" s="14"/>
      <c r="E41" s="14"/>
      <c r="F41" s="14"/>
      <c r="G41" s="14"/>
      <c r="H41" s="14"/>
    </row>
    <row r="42" spans="1:9" s="14" customFormat="1">
      <c r="A42" s="30" t="s">
        <v>160</v>
      </c>
      <c r="B42" s="26" t="str">
        <f>DEC2HEX(G13)</f>
        <v>5</v>
      </c>
      <c r="C42" s="13" t="s">
        <v>35</v>
      </c>
    </row>
    <row r="43" spans="1:9" s="14" customFormat="1">
      <c r="A43" s="30" t="s">
        <v>161</v>
      </c>
      <c r="B43" s="26" t="str">
        <f>DEC2HEX(G27)</f>
        <v>2</v>
      </c>
      <c r="C43" s="13" t="s">
        <v>167</v>
      </c>
      <c r="G43" s="14" t="s">
        <v>88</v>
      </c>
    </row>
    <row r="44" spans="1:9">
      <c r="A44" s="30" t="s">
        <v>162</v>
      </c>
      <c r="B44" s="26" t="str">
        <f>DEC2HEX(G19)</f>
        <v>1E</v>
      </c>
      <c r="C44" s="13" t="s">
        <v>42</v>
      </c>
      <c r="D44" s="14"/>
      <c r="E44" s="14"/>
      <c r="F44" s="14"/>
      <c r="G44" s="14"/>
      <c r="H44" s="14"/>
    </row>
    <row r="45" spans="1:9">
      <c r="A45" s="30" t="s">
        <v>163</v>
      </c>
      <c r="B45" s="26" t="str">
        <f>DEC2HEX(G15)</f>
        <v>1B</v>
      </c>
      <c r="C45" s="13" t="s">
        <v>39</v>
      </c>
      <c r="D45" s="14"/>
      <c r="E45" s="14"/>
      <c r="F45" s="14"/>
      <c r="G45" s="14"/>
      <c r="H45" s="14"/>
    </row>
    <row r="46" spans="1:9">
      <c r="A46" s="30" t="s">
        <v>164</v>
      </c>
      <c r="B46" s="26" t="str">
        <f>DEC2HEX(G14)</f>
        <v>4</v>
      </c>
      <c r="C46" s="13" t="s">
        <v>38</v>
      </c>
      <c r="D46" s="14"/>
      <c r="E46" s="14"/>
      <c r="F46" s="14"/>
      <c r="G46" s="14"/>
      <c r="H46" s="14"/>
    </row>
    <row r="47" spans="1:9">
      <c r="A47" s="30" t="s">
        <v>165</v>
      </c>
      <c r="B47" s="26" t="str">
        <f>DEC2HEX(G16)</f>
        <v>6</v>
      </c>
      <c r="C47" s="13" t="s">
        <v>40</v>
      </c>
      <c r="D47" s="14"/>
      <c r="E47" s="14"/>
      <c r="F47" s="14"/>
      <c r="G47" s="14"/>
      <c r="H47" s="14"/>
    </row>
    <row r="48" spans="1:9" s="14" customFormat="1">
      <c r="A48" s="30" t="s">
        <v>166</v>
      </c>
      <c r="B48" s="26" t="str">
        <f>DEC2HEX(G17)</f>
        <v>2</v>
      </c>
      <c r="C48" s="13" t="s">
        <v>170</v>
      </c>
    </row>
    <row r="49" spans="1:8" s="14" customFormat="1">
      <c r="A49" s="30" t="s">
        <v>171</v>
      </c>
      <c r="B49" s="26" t="str">
        <f>DEC2HEX(G21*2^4+G20)</f>
        <v>3</v>
      </c>
      <c r="C49" s="13"/>
    </row>
    <row r="50" spans="1:8" s="14" customFormat="1">
      <c r="A50" s="30" t="s">
        <v>172</v>
      </c>
      <c r="B50" s="26" t="str">
        <f>DEC2HEX(G22)</f>
        <v>4</v>
      </c>
      <c r="C50" s="13"/>
    </row>
    <row r="51" spans="1:8" ht="25.5">
      <c r="A51" s="81" t="s">
        <v>180</v>
      </c>
      <c r="B51" s="26" t="str">
        <f>DEC2HEX(G11)</f>
        <v>0</v>
      </c>
      <c r="C51" s="13" t="s">
        <v>169</v>
      </c>
      <c r="D51" s="14"/>
      <c r="E51" s="14"/>
      <c r="F51" s="14"/>
      <c r="G51" s="14"/>
      <c r="H51" s="14"/>
    </row>
    <row r="52" spans="1:8" ht="25.5">
      <c r="A52" s="87" t="str">
        <f>A28</f>
        <v>DSIPHY_CKLN_CFG0.DSIPHY_HSTX_PREPARE_DLY</v>
      </c>
      <c r="B52" s="26">
        <f>G28</f>
        <v>0</v>
      </c>
      <c r="C52" s="13" t="s">
        <v>169</v>
      </c>
      <c r="D52" s="14"/>
      <c r="E52" s="14"/>
      <c r="F52" s="14"/>
      <c r="G52" s="14"/>
      <c r="H52" s="14"/>
    </row>
    <row r="53" spans="1:8" ht="25.5">
      <c r="A53" s="81" t="s">
        <v>173</v>
      </c>
      <c r="B53" s="26" t="str">
        <f>DEC2HEX(G18)</f>
        <v>0</v>
      </c>
      <c r="C53" s="13" t="s">
        <v>174</v>
      </c>
      <c r="D53" s="14"/>
      <c r="E53" s="14"/>
      <c r="F53" s="14"/>
      <c r="G53" s="14"/>
      <c r="H53" s="14"/>
    </row>
    <row r="54" spans="1:8" ht="25.5">
      <c r="A54" s="87" t="str">
        <f>A29</f>
        <v>DSIPHY_DLN[0123]_CFG0.DSIPHY_HSTX_PREPARE_DLY</v>
      </c>
      <c r="B54" s="26">
        <f>G29</f>
        <v>0</v>
      </c>
      <c r="C54" s="13" t="s">
        <v>190</v>
      </c>
      <c r="D54" s="14"/>
      <c r="E54" s="14"/>
      <c r="F54" s="14"/>
      <c r="G54" s="14"/>
      <c r="H54" s="14"/>
    </row>
    <row r="55" spans="1:8">
      <c r="A55" s="87"/>
      <c r="B55" s="26"/>
      <c r="C55" s="13"/>
      <c r="D55" s="14"/>
      <c r="E55" s="14"/>
      <c r="F55" s="14"/>
      <c r="G55" s="14"/>
      <c r="H55" s="14"/>
    </row>
    <row r="56" spans="1:8" ht="18">
      <c r="A56" s="71" t="s">
        <v>81</v>
      </c>
      <c r="B56" s="26"/>
      <c r="C56" s="14"/>
      <c r="D56" s="14"/>
      <c r="E56" s="14"/>
      <c r="F56" s="14"/>
      <c r="G56" s="14"/>
      <c r="H56" s="14"/>
    </row>
    <row r="57" spans="1:8">
      <c r="A57" s="30" t="s">
        <v>151</v>
      </c>
      <c r="B57" s="26" t="str">
        <f>DEC2HEX(G25*256+G26)</f>
        <v>A1D</v>
      </c>
      <c r="C57" s="13"/>
      <c r="D57" s="14"/>
      <c r="E57" s="14"/>
      <c r="F57" s="14"/>
      <c r="G57" s="14"/>
      <c r="H57" s="14"/>
    </row>
    <row r="58" spans="1:8">
      <c r="A58" s="30" t="s">
        <v>152</v>
      </c>
      <c r="B58" s="70">
        <f>IF(E26 &lt; D26, 1, 0)</f>
        <v>0</v>
      </c>
      <c r="C58" s="14"/>
      <c r="D58" s="14"/>
      <c r="E58" s="14"/>
      <c r="F58" s="14"/>
      <c r="G58" s="14"/>
      <c r="H58" s="14"/>
    </row>
    <row r="59" spans="1:8" s="14" customFormat="1" ht="25.5">
      <c r="A59" s="81" t="s">
        <v>273</v>
      </c>
      <c r="B59" s="26" t="str">
        <f>DEC2HEX(G34*2^16+500/8/B5)</f>
        <v>1A</v>
      </c>
    </row>
    <row r="60" spans="1:8" ht="25.5">
      <c r="A60" s="81" t="s">
        <v>274</v>
      </c>
      <c r="B60" s="26">
        <f>IF('DSI and MDP registers'!C29=1,        IF('DSI and MDP registers'!C107&gt;5,             DEC2HEX(G35*2^16+1000/8/B5),             DEC2HEX(G35*2^16)            ),         0)</f>
        <v>0</v>
      </c>
      <c r="C60" s="14"/>
      <c r="D60" s="14"/>
      <c r="E60" s="14"/>
      <c r="F60" s="14"/>
      <c r="G60" s="14"/>
      <c r="H60" s="14"/>
    </row>
    <row r="61" spans="1:8" ht="38.25">
      <c r="A61" s="81" t="s">
        <v>275</v>
      </c>
      <c r="B61" s="26">
        <f>IF(AND('DSI and MDP registers'!C29, 'DSI and MDP registers'!C30, 'DSI and MDP registers'!C107&lt;5), 1, 0)</f>
        <v>0</v>
      </c>
      <c r="C61" s="14"/>
      <c r="D61" s="14"/>
      <c r="E61" s="14"/>
      <c r="F61" s="14"/>
      <c r="G61" s="14"/>
      <c r="H61" s="14"/>
    </row>
    <row r="62" spans="1:8">
      <c r="A62" s="14"/>
      <c r="B62" s="14"/>
      <c r="C62" s="14"/>
      <c r="D62" s="14"/>
      <c r="E62" s="14"/>
      <c r="F62" s="14"/>
      <c r="G62" s="14"/>
      <c r="H62" s="14"/>
    </row>
    <row r="63" spans="1:8">
      <c r="A63" s="14"/>
      <c r="B63" s="14"/>
      <c r="C63" s="14"/>
      <c r="D63" s="14"/>
      <c r="E63" s="15" t="s">
        <v>98</v>
      </c>
      <c r="F63" s="14">
        <v>50</v>
      </c>
      <c r="G63" s="14"/>
      <c r="H63" s="14"/>
    </row>
    <row r="64" spans="1:8">
      <c r="A64" s="14"/>
      <c r="B64" s="14"/>
      <c r="C64" s="14"/>
      <c r="D64" s="14"/>
      <c r="E64" s="15" t="s">
        <v>99</v>
      </c>
      <c r="F64" s="14">
        <v>50</v>
      </c>
      <c r="G64" s="14"/>
      <c r="H64" s="14"/>
    </row>
    <row r="65" spans="1:8">
      <c r="A65" s="14"/>
      <c r="B65" s="14"/>
      <c r="C65" s="14"/>
      <c r="D65" s="14"/>
      <c r="E65" s="15" t="s">
        <v>93</v>
      </c>
      <c r="F65" s="14">
        <v>10</v>
      </c>
      <c r="G65" s="14"/>
      <c r="H65" s="14"/>
    </row>
    <row r="66" spans="1:8">
      <c r="A66" s="14"/>
      <c r="B66" s="14"/>
      <c r="C66" s="14"/>
      <c r="D66" s="14"/>
      <c r="E66" s="15" t="s">
        <v>94</v>
      </c>
      <c r="F66" s="14">
        <v>30</v>
      </c>
      <c r="G66" s="14"/>
      <c r="H66" s="14"/>
    </row>
    <row r="67" spans="1:8">
      <c r="E67" s="15" t="s">
        <v>189</v>
      </c>
      <c r="F67" s="14">
        <v>10</v>
      </c>
    </row>
    <row r="68" spans="1:8">
      <c r="E68" s="15" t="s">
        <v>211</v>
      </c>
      <c r="F68" s="14">
        <v>2</v>
      </c>
    </row>
    <row r="69" spans="1:8">
      <c r="E69" s="15" t="s">
        <v>271</v>
      </c>
      <c r="F69" s="14">
        <v>5</v>
      </c>
    </row>
    <row r="70" spans="1:8">
      <c r="E70" s="15" t="s">
        <v>272</v>
      </c>
      <c r="F70" s="14">
        <v>5</v>
      </c>
    </row>
  </sheetData>
  <mergeCells count="6">
    <mergeCell ref="B32:C32"/>
    <mergeCell ref="D32:F32"/>
    <mergeCell ref="H32:H33"/>
    <mergeCell ref="B8:C8"/>
    <mergeCell ref="D8:F8"/>
    <mergeCell ref="H8:H9"/>
  </mergeCells>
  <phoneticPr fontId="51" type="noConversion"/>
  <pageMargins left="0.75" right="0.75" top="0.5" bottom="0.5" header="0.3" footer="0.3"/>
  <pageSetup scale="52" fitToHeight="0" orientation="portrait" r:id="rId1"/>
  <headerFooter scaleWithDoc="0">
    <oddFooter>&amp;L&amp;8      80-NH713-1 R&amp;C&amp;8 &amp;P&amp;"Arial,Bold" MAY CONTAIN U.S. AND INTERNATIONAL EXPORT CONTROLLED INFORMATION&amp;R&amp;8 Confidential and Proprietary - Qualcomm Technologies, Inc.</oddFooter>
  </headerFooter>
</worksheet>
</file>

<file path=xl/worksheets/sheet7.xml><?xml version="1.0" encoding="utf-8"?>
<worksheet xmlns="http://schemas.openxmlformats.org/spreadsheetml/2006/main" xmlns:r="http://schemas.openxmlformats.org/officeDocument/2006/relationships">
  <sheetPr codeName="Sheet8">
    <pageSetUpPr fitToPage="1"/>
  </sheetPr>
  <dimension ref="A1:I65"/>
  <sheetViews>
    <sheetView view="pageBreakPreview" topLeftCell="A11" zoomScaleNormal="85" zoomScaleSheetLayoutView="100" workbookViewId="0">
      <selection activeCell="I101" sqref="I101"/>
    </sheetView>
  </sheetViews>
  <sheetFormatPr defaultColWidth="9.140625" defaultRowHeight="12.75"/>
  <cols>
    <col min="1" max="1" width="37.42578125" style="14" customWidth="1"/>
    <col min="2" max="2" width="19" style="14" customWidth="1"/>
    <col min="3" max="3" width="15.85546875" style="14" customWidth="1"/>
    <col min="4" max="4" width="9.5703125" style="14" customWidth="1"/>
    <col min="5" max="5" width="10" style="14" customWidth="1"/>
    <col min="6" max="6" width="16.28515625" style="14" customWidth="1"/>
    <col min="7" max="7" width="24.5703125" style="14" customWidth="1"/>
    <col min="8" max="8" width="20.7109375" style="14" customWidth="1"/>
    <col min="9" max="9" width="9.140625" style="14"/>
    <col min="10" max="10" width="16.28515625" style="14" customWidth="1"/>
    <col min="11" max="16384" width="9.140625" style="14"/>
  </cols>
  <sheetData>
    <row r="1" spans="1:9" ht="18">
      <c r="A1" s="8" t="s">
        <v>80</v>
      </c>
    </row>
    <row r="2" spans="1:9" ht="18">
      <c r="A2" s="12" t="s">
        <v>129</v>
      </c>
      <c r="B2" s="11"/>
      <c r="G2" s="16"/>
    </row>
    <row r="3" spans="1:9">
      <c r="A3" s="24" t="s">
        <v>96</v>
      </c>
      <c r="B3" s="67">
        <f>ROUNDDOWN('DSI and MDP registers'!C99, 0)</f>
        <v>423</v>
      </c>
      <c r="C3" s="14" t="s">
        <v>15</v>
      </c>
    </row>
    <row r="4" spans="1:9">
      <c r="A4" s="24" t="s">
        <v>33</v>
      </c>
      <c r="B4" s="68">
        <f>'DSI and MDP registers'!C21/'DSI and MDP registers'!C22</f>
        <v>19.2</v>
      </c>
      <c r="C4" s="14" t="s">
        <v>15</v>
      </c>
    </row>
    <row r="5" spans="1:9">
      <c r="A5" s="24" t="s">
        <v>36</v>
      </c>
      <c r="B5" s="25">
        <f>10^3/B3</f>
        <v>2.3640661938534278</v>
      </c>
      <c r="C5" s="14" t="s">
        <v>37</v>
      </c>
    </row>
    <row r="6" spans="1:9">
      <c r="A6" s="24" t="s">
        <v>46</v>
      </c>
      <c r="B6" s="18">
        <f>10^3/B4</f>
        <v>52.083333333333336</v>
      </c>
      <c r="C6" s="14" t="s">
        <v>37</v>
      </c>
    </row>
    <row r="7" spans="1:9">
      <c r="A7" s="24" t="s">
        <v>89</v>
      </c>
      <c r="B7" s="26">
        <v>20</v>
      </c>
      <c r="C7" s="14" t="s">
        <v>37</v>
      </c>
    </row>
    <row r="8" spans="1:9">
      <c r="A8" s="29"/>
      <c r="B8" s="138" t="s">
        <v>92</v>
      </c>
      <c r="C8" s="139"/>
      <c r="D8" s="140" t="s">
        <v>77</v>
      </c>
      <c r="E8" s="140"/>
      <c r="F8" s="140"/>
      <c r="G8" s="77" t="s">
        <v>130</v>
      </c>
      <c r="H8" s="141" t="s">
        <v>186</v>
      </c>
    </row>
    <row r="9" spans="1:9">
      <c r="A9" s="30"/>
      <c r="B9" s="27" t="s">
        <v>50</v>
      </c>
      <c r="C9" s="19" t="s">
        <v>51</v>
      </c>
      <c r="D9" s="119" t="s">
        <v>63</v>
      </c>
      <c r="E9" s="119" t="s">
        <v>64</v>
      </c>
      <c r="F9" s="20"/>
      <c r="G9" s="77" t="s">
        <v>49</v>
      </c>
      <c r="H9" s="142"/>
    </row>
    <row r="10" spans="1:9">
      <c r="A10" s="30" t="s">
        <v>32</v>
      </c>
      <c r="B10" s="28">
        <v>38</v>
      </c>
      <c r="C10" s="21">
        <v>95</v>
      </c>
      <c r="D10" s="18">
        <f>MAX(ROUNDUP((B10/$B$5-$F$11*4)/8, 0),0)</f>
        <v>3</v>
      </c>
      <c r="E10" s="18">
        <f>MAX(ROUNDDOWN((C10/$B$5-$F$11*4)/8, 0),0)</f>
        <v>5</v>
      </c>
      <c r="F10" s="18">
        <f>ROUNDUP((E10-D10)*($F$56/100)+D10, 0)</f>
        <v>4</v>
      </c>
      <c r="G10" s="22">
        <f t="shared" ref="G10:G16" si="0">IF(F10&lt;0, 0, F10)</f>
        <v>4</v>
      </c>
      <c r="H10" s="17">
        <f>(G10*8 +G11*4)*$B$5</f>
        <v>75.650118203309688</v>
      </c>
      <c r="I10" s="14" t="str">
        <f>IF(OR(H10&lt;B10, H10&gt;C10), "fail", "")</f>
        <v/>
      </c>
    </row>
    <row r="11" spans="1:9" ht="25.5">
      <c r="A11" s="84" t="s">
        <v>223</v>
      </c>
      <c r="B11" s="28"/>
      <c r="C11" s="21"/>
      <c r="D11" s="18"/>
      <c r="E11" s="18"/>
      <c r="F11" s="18">
        <v>0</v>
      </c>
      <c r="G11" s="22">
        <f t="shared" si="0"/>
        <v>0</v>
      </c>
      <c r="H11" s="17"/>
    </row>
    <row r="12" spans="1:9">
      <c r="A12" s="30" t="s">
        <v>34</v>
      </c>
      <c r="B12" s="28">
        <f>300-H10</f>
        <v>224.34988179669031</v>
      </c>
      <c r="C12" s="21"/>
      <c r="D12" s="18">
        <f>ROUNDUP((B12/$B$5)/8, 0) - 1</f>
        <v>11</v>
      </c>
      <c r="E12" s="18">
        <f>IF(D12&gt; 255, 511, 255)</f>
        <v>255</v>
      </c>
      <c r="F12" s="18">
        <f>ROUNDUP((E12-D12)*($F$63/100)+D12, 0)</f>
        <v>16</v>
      </c>
      <c r="G12" s="22">
        <f t="shared" si="0"/>
        <v>16</v>
      </c>
      <c r="H12" s="17">
        <f>((G12+1)*8)*$B$5</f>
        <v>321.51300236406615</v>
      </c>
      <c r="I12" s="14">
        <f>H10+H12</f>
        <v>397.16312056737581</v>
      </c>
    </row>
    <row r="13" spans="1:9">
      <c r="A13" s="30" t="s">
        <v>35</v>
      </c>
      <c r="B13" s="28">
        <v>60</v>
      </c>
      <c r="C13" s="21">
        <f>C24-$B$7</f>
        <v>113.36879432624113</v>
      </c>
      <c r="D13" s="18">
        <f>ROUNDUP((B13/$B$5)/8, 0)-1</f>
        <v>3</v>
      </c>
      <c r="E13" s="18">
        <f>ROUNDDOWN((C13/$B$5)/8, 0)-1</f>
        <v>4</v>
      </c>
      <c r="F13" s="18">
        <f>ROUNDUP((E13-D13)*($F$59/100)+D13, 0)</f>
        <v>4</v>
      </c>
      <c r="G13" s="22">
        <f t="shared" si="0"/>
        <v>4</v>
      </c>
      <c r="H13" s="17">
        <f>((G13+1)*8)*$B$5</f>
        <v>94.562647754137117</v>
      </c>
      <c r="I13" s="14" t="str">
        <f t="shared" ref="I13:I14" si="1">IF(OR(H13&lt;B13, H13&gt;C13), "fail", "")</f>
        <v/>
      </c>
    </row>
    <row r="14" spans="1:9">
      <c r="A14" s="30" t="s">
        <v>38</v>
      </c>
      <c r="B14" s="28">
        <f>40+4*B5</f>
        <v>49.456264775413715</v>
      </c>
      <c r="C14" s="21">
        <f>85+6*B5</f>
        <v>99.184397163120565</v>
      </c>
      <c r="D14" s="18">
        <f>MAX(ROUNDUP((B14/$B$5-$F$18*4)/8, 0),0)</f>
        <v>3</v>
      </c>
      <c r="E14" s="18">
        <f>MAX(ROUNDDOWN((C14/$B$5-$F$18*4)/8, 0),0)</f>
        <v>5</v>
      </c>
      <c r="F14" s="18">
        <f>ROUNDUP((E14-D14)*($F$57/100)+D14, 0)</f>
        <v>4</v>
      </c>
      <c r="G14" s="22">
        <f t="shared" si="0"/>
        <v>4</v>
      </c>
      <c r="H14" s="17">
        <f>(G14*8+G18*4)*$B$5</f>
        <v>75.650118203309688</v>
      </c>
      <c r="I14" s="14" t="str">
        <f t="shared" si="1"/>
        <v/>
      </c>
    </row>
    <row r="15" spans="1:9">
      <c r="A15" s="30" t="s">
        <v>39</v>
      </c>
      <c r="B15" s="28">
        <f>145+10*B5-H14</f>
        <v>92.990543735224577</v>
      </c>
      <c r="C15" s="21"/>
      <c r="D15" s="18">
        <f>ROUNDUP((B15/$B$5 )/8, 0) - 1</f>
        <v>4</v>
      </c>
      <c r="E15" s="18">
        <v>255</v>
      </c>
      <c r="F15" s="18">
        <f>ROUNDUP((E15-D15)*($F$60/100)+D15, 0)</f>
        <v>30</v>
      </c>
      <c r="G15" s="22">
        <f t="shared" si="0"/>
        <v>30</v>
      </c>
      <c r="H15" s="17">
        <f>((G15+1)*8)*$B$5</f>
        <v>586.28841607565005</v>
      </c>
      <c r="I15" s="14">
        <f>H14+H15</f>
        <v>661.93853427895976</v>
      </c>
    </row>
    <row r="16" spans="1:9">
      <c r="A16" s="30" t="s">
        <v>40</v>
      </c>
      <c r="B16" s="28">
        <f xml:space="preserve"> 60+4*B5</f>
        <v>69.456264775413715</v>
      </c>
      <c r="C16" s="21">
        <f>C23-$B$7</f>
        <v>113.36879432624113</v>
      </c>
      <c r="D16" s="18">
        <f>ROUNDUP((B16/$B$5)/8, 0)-1</f>
        <v>3</v>
      </c>
      <c r="E16" s="18">
        <f>ROUNDDOWN((C16/$B$5)/8, 0)-1</f>
        <v>4</v>
      </c>
      <c r="F16" s="18">
        <f>ROUNDUP((E16-D16)*($F$59/100)+D16, 0)</f>
        <v>4</v>
      </c>
      <c r="G16" s="22">
        <f t="shared" si="0"/>
        <v>4</v>
      </c>
      <c r="H16" s="17">
        <f>((G16+1)*8)*$B$5</f>
        <v>94.562647754137117</v>
      </c>
      <c r="I16" s="14" t="str">
        <f>IF(OR(H16&lt;B16, H16&gt;C16), "fail", "")</f>
        <v/>
      </c>
    </row>
    <row r="17" spans="1:9">
      <c r="A17" s="30" t="s">
        <v>170</v>
      </c>
      <c r="B17" s="28">
        <v>50</v>
      </c>
      <c r="C17" s="21"/>
      <c r="D17" s="18"/>
      <c r="E17" s="18"/>
      <c r="F17" s="18">
        <f>MAX(ROUNDUP((B17/B5+4*F18-8)/8, 0), 0)</f>
        <v>2</v>
      </c>
      <c r="G17" s="22">
        <f>IF(F17&lt;0, 0, F17)</f>
        <v>2</v>
      </c>
      <c r="H17" s="17">
        <f xml:space="preserve"> ((G17+1)*8 - (G18*4))*$B$5</f>
        <v>56.737588652482266</v>
      </c>
      <c r="I17" s="14" t="str">
        <f>IF(H17&lt;B17, "fail", "")</f>
        <v/>
      </c>
    </row>
    <row r="18" spans="1:9" ht="25.5">
      <c r="A18" s="84" t="s">
        <v>224</v>
      </c>
      <c r="B18" s="28"/>
      <c r="C18" s="21"/>
      <c r="D18" s="18"/>
      <c r="E18" s="18"/>
      <c r="F18" s="18">
        <f>F11</f>
        <v>0</v>
      </c>
      <c r="G18" s="22">
        <f>IF(F18&lt;0, 0, F18)</f>
        <v>0</v>
      </c>
      <c r="H18" s="17"/>
    </row>
    <row r="19" spans="1:9">
      <c r="A19" s="30" t="s">
        <v>42</v>
      </c>
      <c r="B19" s="28">
        <v>100</v>
      </c>
      <c r="C19" s="21"/>
      <c r="D19" s="18">
        <f t="shared" ref="D19" si="2">ROUNDUP(B19/$B$5/8, 0) - 1</f>
        <v>5</v>
      </c>
      <c r="E19" s="18">
        <v>255</v>
      </c>
      <c r="F19" s="18">
        <f>ROUNDUP((E19-D19)*($F$58/100)+D19, 0)</f>
        <v>30</v>
      </c>
      <c r="G19" s="22">
        <f>IF(F19&lt;0, 0, F19)</f>
        <v>30</v>
      </c>
      <c r="H19" s="17">
        <f t="shared" ref="H19" si="3">(G19+1)*$B$5*8</f>
        <v>586.28841607565005</v>
      </c>
      <c r="I19" s="14" t="str">
        <f>IF(H19&lt;B19, "fail", "")</f>
        <v/>
      </c>
    </row>
    <row r="20" spans="1:9">
      <c r="A20" s="30" t="s">
        <v>43</v>
      </c>
      <c r="B20" s="28">
        <f>4*B6</f>
        <v>208.33333333333334</v>
      </c>
      <c r="C20" s="21">
        <f>4*B6</f>
        <v>208.33333333333334</v>
      </c>
      <c r="D20" s="18"/>
      <c r="E20" s="18"/>
      <c r="F20" s="18">
        <f>B20</f>
        <v>208.33333333333334</v>
      </c>
      <c r="G20" s="22">
        <v>3</v>
      </c>
      <c r="H20" s="18">
        <f>(G20+1)*10^3/$B$4</f>
        <v>208.33333333333334</v>
      </c>
    </row>
    <row r="21" spans="1:9">
      <c r="A21" s="30" t="s">
        <v>45</v>
      </c>
      <c r="B21" s="28">
        <f>B6</f>
        <v>52.083333333333336</v>
      </c>
      <c r="C21" s="21">
        <f>2*B6</f>
        <v>104.16666666666667</v>
      </c>
      <c r="D21" s="18"/>
      <c r="E21" s="18"/>
      <c r="F21" s="18">
        <f>B21</f>
        <v>52.083333333333336</v>
      </c>
      <c r="G21" s="22">
        <v>0</v>
      </c>
      <c r="H21" s="18">
        <f>(G21+2)*10^3/$B$4</f>
        <v>104.16666666666667</v>
      </c>
    </row>
    <row r="22" spans="1:9">
      <c r="A22" s="30" t="s">
        <v>44</v>
      </c>
      <c r="B22" s="28">
        <f>5*B6</f>
        <v>260.41666666666669</v>
      </c>
      <c r="C22" s="21">
        <f>5*B6</f>
        <v>260.41666666666669</v>
      </c>
      <c r="D22" s="18"/>
      <c r="E22" s="18"/>
      <c r="F22" s="18">
        <f>B22</f>
        <v>260.41666666666669</v>
      </c>
      <c r="G22" s="22">
        <v>4</v>
      </c>
      <c r="H22" s="18">
        <f>(G22+1)*10^3/$B$4</f>
        <v>260.41666666666669</v>
      </c>
    </row>
    <row r="23" spans="1:9">
      <c r="A23" s="30" t="s">
        <v>90</v>
      </c>
      <c r="B23" s="28"/>
      <c r="C23" s="21">
        <f>105+12*$B$5</f>
        <v>133.36879432624113</v>
      </c>
      <c r="D23" s="18"/>
      <c r="E23" s="18"/>
      <c r="F23" s="18"/>
      <c r="G23" s="23"/>
      <c r="H23" s="18">
        <f>H16+$B$7/2</f>
        <v>104.56264775413712</v>
      </c>
    </row>
    <row r="24" spans="1:9">
      <c r="A24" s="30" t="s">
        <v>91</v>
      </c>
      <c r="B24" s="28"/>
      <c r="C24" s="21">
        <f>105+12*$B$5</f>
        <v>133.36879432624113</v>
      </c>
      <c r="D24" s="18"/>
      <c r="E24" s="18"/>
      <c r="F24" s="18"/>
      <c r="G24" s="23"/>
      <c r="H24" s="18">
        <f>H13 + $B$7/2</f>
        <v>104.56264775413712</v>
      </c>
    </row>
    <row r="25" spans="1:9">
      <c r="A25" s="30" t="s">
        <v>47</v>
      </c>
      <c r="B25" s="28">
        <f>60+52*B5</f>
        <v>182.93144208037825</v>
      </c>
      <c r="C25" s="21"/>
      <c r="D25" s="18">
        <f>ROUNDUP((B25-43*B5)/(8*B5), 0)-1</f>
        <v>4</v>
      </c>
      <c r="E25" s="18">
        <v>63</v>
      </c>
      <c r="F25" s="18">
        <f>ROUNDUP((E25-D25)*($F$62/100)+D25, 0)</f>
        <v>10</v>
      </c>
      <c r="G25" s="22">
        <f>IF(F25&lt;0, 0, F25)</f>
        <v>10</v>
      </c>
      <c r="H25" s="18">
        <f>(G25+1)*8*B5+72*B5+H19</f>
        <v>964.53900709219852</v>
      </c>
    </row>
    <row r="26" spans="1:9">
      <c r="A26" s="30" t="s">
        <v>48</v>
      </c>
      <c r="B26" s="28">
        <f>8*B5</f>
        <v>18.912529550827422</v>
      </c>
      <c r="C26" s="21"/>
      <c r="D26" s="18">
        <f>ROUNDUP((B26+$H$10+$H$12+H27)/(8*$B$5),0)-1</f>
        <v>24</v>
      </c>
      <c r="E26" s="18">
        <v>63</v>
      </c>
      <c r="F26" s="18">
        <f>IF(D26&gt;63, ROUNDUP((E26*2-D26)*($F$61/100)+D26, 0), ROUNDUP((E26-D26)*($F$61/100)+D26, 0))</f>
        <v>28</v>
      </c>
      <c r="G26" s="22">
        <f>IF(F26&lt;0, 0, IF(D26&gt;E26, ROUNDDOWN(F26/2, 0), F26))</f>
        <v>28</v>
      </c>
      <c r="H26" s="18">
        <f>IF(D26&gt;E26,(G26+1)*16*B5-H27-H10-H12,(G26+1)*8*B5-H27-H10-H12)</f>
        <v>94.562647754137117</v>
      </c>
    </row>
    <row r="27" spans="1:9">
      <c r="A27" s="30" t="s">
        <v>182</v>
      </c>
      <c r="B27" s="28">
        <v>50</v>
      </c>
      <c r="C27" s="21"/>
      <c r="D27" s="18"/>
      <c r="E27" s="18"/>
      <c r="F27" s="18">
        <f>MAX(ROUNDUP((B27/$B$5+4*$F$11-8)/8, 0), 0)</f>
        <v>2</v>
      </c>
      <c r="G27" s="22">
        <f>IF(F27&lt;0, 0, F27)</f>
        <v>2</v>
      </c>
      <c r="H27" s="17">
        <f>IF(G11=0, (G27+1)*$B$5*8, (G27+0.5)*$B$5*8)</f>
        <v>56.737588652482266</v>
      </c>
      <c r="I27" s="14" t="str">
        <f>IF(H27&lt;B27, "fail", "")</f>
        <v/>
      </c>
    </row>
    <row r="28" spans="1:9">
      <c r="A28" s="30" t="s">
        <v>131</v>
      </c>
      <c r="B28" s="3"/>
      <c r="C28" s="3"/>
      <c r="D28" s="5"/>
      <c r="H28" s="18">
        <f>SUM(H10:H17) +  H19+SUM(H25:H27)  +B6+8*B5</f>
        <v>3078.0880614657212</v>
      </c>
    </row>
    <row r="29" spans="1:9">
      <c r="A29" s="129"/>
      <c r="B29" s="3"/>
      <c r="C29" s="3"/>
      <c r="D29" s="5"/>
      <c r="H29" s="86"/>
    </row>
    <row r="30" spans="1:9" ht="15.75">
      <c r="A30" s="130" t="s">
        <v>279</v>
      </c>
      <c r="B30" s="143" t="s">
        <v>270</v>
      </c>
      <c r="C30" s="139"/>
      <c r="D30" s="140" t="s">
        <v>77</v>
      </c>
      <c r="E30" s="140"/>
      <c r="F30" s="140"/>
      <c r="G30" s="77" t="s">
        <v>130</v>
      </c>
      <c r="H30" s="144" t="s">
        <v>186</v>
      </c>
    </row>
    <row r="31" spans="1:9">
      <c r="A31" s="30"/>
      <c r="B31" s="27" t="s">
        <v>50</v>
      </c>
      <c r="C31" s="19" t="s">
        <v>51</v>
      </c>
      <c r="D31" s="124" t="s">
        <v>63</v>
      </c>
      <c r="E31" s="124" t="s">
        <v>64</v>
      </c>
      <c r="F31" s="20"/>
      <c r="G31" s="77"/>
      <c r="H31" s="145"/>
    </row>
    <row r="32" spans="1:9">
      <c r="A32" s="30" t="s">
        <v>268</v>
      </c>
      <c r="B32" s="31">
        <f>IF(B3&gt;1500, B5*(2^15), 0)</f>
        <v>0</v>
      </c>
      <c r="C32" s="31">
        <f>IF(B3&gt;1500, 100*1000, 0)</f>
        <v>0</v>
      </c>
      <c r="D32" s="128">
        <f>IF(B3&gt;1500, ROUNDUP((B32+500)/(8*$B$5),0), 0)</f>
        <v>0</v>
      </c>
      <c r="E32" s="128">
        <f>IF(B3&gt;1500, ROUNDUP((C32+500)/(8*$B$5),0), 0)</f>
        <v>0</v>
      </c>
      <c r="F32" s="26">
        <f>ROUNDUP((E32-D32)*($F$64/100)+D32, 0)</f>
        <v>0</v>
      </c>
      <c r="G32" s="26">
        <f>IF(F32&lt;0, 0, F32)</f>
        <v>0</v>
      </c>
      <c r="H32" s="18">
        <f>IF(G32&gt;0, G32*8*B5-1000, 0)</f>
        <v>0</v>
      </c>
      <c r="I32" s="14" t="str">
        <f>IF(OR(H32&lt;B32, H32&gt;C32), "fail", "")</f>
        <v/>
      </c>
    </row>
    <row r="33" spans="1:9">
      <c r="A33" s="30" t="s">
        <v>269</v>
      </c>
      <c r="B33" s="31">
        <f>IF(B3&gt;1500, B5*(2^12), 0)</f>
        <v>0</v>
      </c>
      <c r="C33" s="31">
        <f>IF(B3&gt;1500,         MIN(10,                   IF(AND('DSI and MDP registers'!C107&lt;5, 'DSI and MDP registers'!C30=1),                        'DSI and MDP registers'!C107-2*((H14+H15+H16+H17+H19)/1000),                        'DSI and MDP registers'!C107-2*(H28/1000)                       )                   )*1000,          0)</f>
        <v>0</v>
      </c>
      <c r="D33" s="128">
        <f>IF(B3&gt;1500,        ROUNDUP((B33+I15+H17)/(8*$B$5),0),      0)</f>
        <v>0</v>
      </c>
      <c r="E33" s="128">
        <f>IF(B3&gt;1500,        ROUNDDOWN((C33+I15+H17)/(8*$B$5),0),      0)</f>
        <v>0</v>
      </c>
      <c r="F33" s="26">
        <f>ROUNDUP((E33-D33)*($F$65/100)+D33, 0)</f>
        <v>0</v>
      </c>
      <c r="G33" s="26">
        <f>IF(F33&lt;0, 0, F33)</f>
        <v>0</v>
      </c>
      <c r="H33" s="18">
        <f>IF(G33&gt;0, G33*8*B5-I15-H17, 0)</f>
        <v>0</v>
      </c>
      <c r="I33" s="14" t="str">
        <f>IF(OR(H33&lt;B33,             H33&gt;C33,             IF(AND('DSI and MDP registers'!C107&lt;5, 'DSI and MDP registers'!C30=1),                 (H33+2*(H14+H15+H16+H17+H19)&gt;'DSI and MDP registers'!C107*1000),                 (H33+2*H28&gt;'DSI and MDP registers'!C107*1000)                )             ),        "fail",        ""      )</f>
        <v/>
      </c>
    </row>
    <row r="34" spans="1:9">
      <c r="A34" s="30"/>
      <c r="B34" s="6"/>
      <c r="C34" s="6"/>
    </row>
    <row r="35" spans="1:9" ht="18">
      <c r="A35" s="69" t="s">
        <v>225</v>
      </c>
    </row>
    <row r="36" spans="1:9">
      <c r="A36" s="30" t="s">
        <v>226</v>
      </c>
      <c r="B36" s="31" t="s">
        <v>132</v>
      </c>
      <c r="C36" s="3"/>
    </row>
    <row r="37" spans="1:9">
      <c r="A37" s="30" t="s">
        <v>227</v>
      </c>
      <c r="B37" s="26" t="str">
        <f>DEC2HEX(G11)</f>
        <v>0</v>
      </c>
      <c r="C37" s="13" t="s">
        <v>228</v>
      </c>
    </row>
    <row r="38" spans="1:9">
      <c r="A38" s="30" t="s">
        <v>229</v>
      </c>
      <c r="B38" s="26" t="str">
        <f>DEC2HEX(G12)</f>
        <v>10</v>
      </c>
      <c r="C38" s="13" t="s">
        <v>34</v>
      </c>
    </row>
    <row r="39" spans="1:9">
      <c r="A39" s="30" t="s">
        <v>230</v>
      </c>
      <c r="B39" s="26" t="str">
        <f>DEC2HEX(G10)</f>
        <v>4</v>
      </c>
      <c r="C39" s="13" t="s">
        <v>32</v>
      </c>
    </row>
    <row r="40" spans="1:9">
      <c r="A40" s="30" t="s">
        <v>231</v>
      </c>
      <c r="B40" s="26" t="str">
        <f>DEC2HEX(G13)</f>
        <v>4</v>
      </c>
      <c r="C40" s="13" t="s">
        <v>35</v>
      </c>
    </row>
    <row r="41" spans="1:9">
      <c r="A41" s="30" t="s">
        <v>232</v>
      </c>
      <c r="B41" s="26" t="str">
        <f>DEC2HEX(G19)</f>
        <v>1E</v>
      </c>
      <c r="C41" s="13" t="s">
        <v>42</v>
      </c>
    </row>
    <row r="42" spans="1:9">
      <c r="A42" s="30" t="s">
        <v>233</v>
      </c>
      <c r="B42" s="26" t="str">
        <f>DEC2HEX(G15)</f>
        <v>1E</v>
      </c>
      <c r="C42" s="13" t="s">
        <v>39</v>
      </c>
    </row>
    <row r="43" spans="1:9">
      <c r="A43" s="30" t="s">
        <v>234</v>
      </c>
      <c r="B43" s="26" t="str">
        <f>DEC2HEX(G14)</f>
        <v>4</v>
      </c>
      <c r="C43" s="13" t="s">
        <v>38</v>
      </c>
    </row>
    <row r="44" spans="1:9">
      <c r="A44" s="30" t="s">
        <v>235</v>
      </c>
      <c r="B44" s="26" t="str">
        <f>DEC2HEX(G16)</f>
        <v>4</v>
      </c>
      <c r="C44" s="13" t="s">
        <v>40</v>
      </c>
    </row>
    <row r="45" spans="1:9">
      <c r="A45" s="30" t="s">
        <v>236</v>
      </c>
      <c r="B45" s="26" t="str">
        <f>DEC2HEX(G27)</f>
        <v>2</v>
      </c>
      <c r="C45" s="13" t="s">
        <v>41</v>
      </c>
    </row>
    <row r="46" spans="1:9">
      <c r="A46" s="30" t="s">
        <v>237</v>
      </c>
      <c r="B46" s="26" t="str">
        <f>DEC2HEX(G21*2^4+G20)</f>
        <v>3</v>
      </c>
      <c r="C46" s="13"/>
    </row>
    <row r="47" spans="1:9">
      <c r="A47" s="30" t="s">
        <v>238</v>
      </c>
      <c r="B47" s="26" t="str">
        <f>DEC2HEX(G22)</f>
        <v>4</v>
      </c>
      <c r="C47" s="13"/>
    </row>
    <row r="48" spans="1:9">
      <c r="A48" s="87"/>
      <c r="B48" s="26"/>
      <c r="C48" s="13"/>
    </row>
    <row r="49" spans="1:6" ht="18">
      <c r="A49" s="71" t="s">
        <v>81</v>
      </c>
      <c r="B49" s="26"/>
    </row>
    <row r="50" spans="1:6">
      <c r="A50" s="30" t="s">
        <v>151</v>
      </c>
      <c r="B50" s="26" t="str">
        <f>DEC2HEX(G25*256+G26)</f>
        <v>A1C</v>
      </c>
      <c r="C50" s="13"/>
    </row>
    <row r="51" spans="1:6">
      <c r="A51" s="30" t="s">
        <v>152</v>
      </c>
      <c r="B51" s="70">
        <f>IF(E26 &lt; D26, 1, 0)</f>
        <v>0</v>
      </c>
    </row>
    <row r="52" spans="1:6" ht="25.5">
      <c r="A52" s="81" t="s">
        <v>273</v>
      </c>
      <c r="B52" s="26" t="str">
        <f>DEC2HEX(G32*2^16+500/8/B5)</f>
        <v>1A</v>
      </c>
    </row>
    <row r="53" spans="1:6" ht="25.5">
      <c r="A53" s="81" t="s">
        <v>274</v>
      </c>
      <c r="B53" s="26">
        <f>IF('DSI and MDP registers'!C29=1,        IF('DSI and MDP registers'!C107&gt;5,             DEC2HEX(G33*2^16+1000/8/B5),             DEC2HEX(G33*2^16)            ),         0)</f>
        <v>0</v>
      </c>
    </row>
    <row r="54" spans="1:6" ht="38.25">
      <c r="A54" s="81" t="s">
        <v>275</v>
      </c>
      <c r="B54" s="26">
        <f>IF(AND('DSI and MDP registers'!C29, 'DSI and MDP registers'!C30, 'DSI and MDP registers'!C107&lt;5), 1, 0)</f>
        <v>0</v>
      </c>
    </row>
    <row r="56" spans="1:6">
      <c r="E56" s="15" t="s">
        <v>98</v>
      </c>
      <c r="F56" s="14">
        <v>50</v>
      </c>
    </row>
    <row r="57" spans="1:6">
      <c r="E57" s="15" t="s">
        <v>99</v>
      </c>
      <c r="F57" s="14">
        <v>50</v>
      </c>
    </row>
    <row r="58" spans="1:6">
      <c r="E58" s="15" t="s">
        <v>93</v>
      </c>
      <c r="F58" s="14">
        <v>10</v>
      </c>
    </row>
    <row r="59" spans="1:6">
      <c r="E59" s="15" t="s">
        <v>94</v>
      </c>
      <c r="F59" s="14">
        <v>30</v>
      </c>
    </row>
    <row r="60" spans="1:6">
      <c r="E60" s="15" t="s">
        <v>189</v>
      </c>
      <c r="F60" s="14">
        <v>10</v>
      </c>
    </row>
    <row r="61" spans="1:6">
      <c r="E61" s="15" t="s">
        <v>239</v>
      </c>
      <c r="F61" s="14">
        <v>10</v>
      </c>
    </row>
    <row r="62" spans="1:6">
      <c r="E62" s="15" t="s">
        <v>240</v>
      </c>
      <c r="F62" s="14">
        <v>10</v>
      </c>
    </row>
    <row r="63" spans="1:6">
      <c r="E63" s="15" t="s">
        <v>211</v>
      </c>
      <c r="F63" s="14">
        <v>2</v>
      </c>
    </row>
    <row r="64" spans="1:6">
      <c r="E64" s="15" t="s">
        <v>271</v>
      </c>
      <c r="F64" s="14">
        <v>5</v>
      </c>
    </row>
    <row r="65" spans="5:6">
      <c r="E65" s="15" t="s">
        <v>272</v>
      </c>
      <c r="F65" s="14">
        <v>5</v>
      </c>
    </row>
  </sheetData>
  <mergeCells count="6">
    <mergeCell ref="B8:C8"/>
    <mergeCell ref="D8:F8"/>
    <mergeCell ref="H8:H9"/>
    <mergeCell ref="B30:C30"/>
    <mergeCell ref="D30:F30"/>
    <mergeCell ref="H30:H31"/>
  </mergeCells>
  <phoneticPr fontId="51" type="noConversion"/>
  <pageMargins left="0.75" right="0.75" top="0.5" bottom="0.5" header="0.3" footer="0.3"/>
  <pageSetup scale="51" fitToHeight="0" orientation="portrait" r:id="rId1"/>
  <headerFooter scaleWithDoc="0">
    <oddFooter>&amp;L&amp;8      80-NH713-1 R&amp;C&amp;8 &amp;P&amp;"Arial,Bold" MAY CONTAIN U.S. AND INTERNATIONAL EXPORT CONTROLLED INFORMATION&amp;R&amp;8 Confidential and Proprietary - Qualcomm Technologies, Inc.</oddFooter>
  </headerFooter>
</worksheet>
</file>

<file path=xl/worksheets/sheet8.xml><?xml version="1.0" encoding="utf-8"?>
<worksheet xmlns="http://schemas.openxmlformats.org/spreadsheetml/2006/main" xmlns:r="http://schemas.openxmlformats.org/officeDocument/2006/relationships">
  <dimension ref="A1:J69"/>
  <sheetViews>
    <sheetView view="pageBreakPreview" zoomScaleSheetLayoutView="100" workbookViewId="0">
      <selection activeCell="I94" sqref="I94"/>
    </sheetView>
  </sheetViews>
  <sheetFormatPr defaultRowHeight="12.75"/>
  <cols>
    <col min="1" max="1" width="41.7109375" customWidth="1"/>
    <col min="2" max="2" width="20.28515625" customWidth="1"/>
    <col min="3" max="3" width="18.140625" customWidth="1"/>
    <col min="4" max="4" width="14.5703125" customWidth="1"/>
    <col min="5" max="5" width="14.28515625" customWidth="1"/>
    <col min="6" max="6" width="18.140625" customWidth="1"/>
    <col min="7" max="7" width="26.85546875" customWidth="1"/>
    <col min="8" max="8" width="19.140625" customWidth="1"/>
    <col min="9" max="9" width="19.85546875" customWidth="1"/>
  </cols>
  <sheetData>
    <row r="1" spans="1:10" ht="18">
      <c r="A1" s="8" t="s">
        <v>80</v>
      </c>
      <c r="B1" s="14"/>
      <c r="C1" s="14"/>
      <c r="D1" s="14"/>
      <c r="E1" s="14"/>
      <c r="F1" s="14"/>
      <c r="G1" s="14"/>
      <c r="H1" s="14"/>
      <c r="I1" s="14"/>
      <c r="J1" s="14"/>
    </row>
    <row r="2" spans="1:10" ht="18">
      <c r="A2" s="12" t="s">
        <v>129</v>
      </c>
      <c r="B2" s="11"/>
      <c r="C2" s="14"/>
      <c r="D2" s="14"/>
      <c r="E2" s="14"/>
      <c r="F2" s="14"/>
      <c r="G2" s="16"/>
      <c r="H2" s="14"/>
      <c r="I2" s="14"/>
      <c r="J2" s="14"/>
    </row>
    <row r="3" spans="1:10">
      <c r="A3" s="24" t="s">
        <v>96</v>
      </c>
      <c r="B3" s="67">
        <f>ROUNDDOWN('DSI and MDP registers'!C99, 0)</f>
        <v>423</v>
      </c>
      <c r="C3" s="14" t="s">
        <v>15</v>
      </c>
      <c r="D3" s="14"/>
      <c r="E3" s="14"/>
      <c r="F3" s="14"/>
      <c r="G3" s="14"/>
      <c r="H3" s="14"/>
      <c r="I3" s="14"/>
      <c r="J3" s="14"/>
    </row>
    <row r="4" spans="1:10">
      <c r="A4" s="24" t="s">
        <v>33</v>
      </c>
      <c r="B4" s="68">
        <f>'DSI and MDP registers'!C21/'DSI and MDP registers'!C22</f>
        <v>19.2</v>
      </c>
      <c r="C4" s="14" t="s">
        <v>15</v>
      </c>
      <c r="D4" s="14"/>
      <c r="E4" s="14"/>
      <c r="F4" s="14"/>
      <c r="G4" s="14"/>
      <c r="H4" s="14"/>
      <c r="I4" s="14"/>
      <c r="J4" s="14"/>
    </row>
    <row r="5" spans="1:10">
      <c r="A5" s="24" t="s">
        <v>36</v>
      </c>
      <c r="B5" s="25">
        <f>10^3/B3</f>
        <v>2.3640661938534278</v>
      </c>
      <c r="C5" s="14" t="s">
        <v>37</v>
      </c>
      <c r="D5" s="14"/>
      <c r="E5" s="14"/>
      <c r="F5" s="14"/>
      <c r="G5" s="14"/>
      <c r="H5" s="14"/>
      <c r="I5" s="14"/>
      <c r="J5" s="14"/>
    </row>
    <row r="6" spans="1:10">
      <c r="A6" s="24" t="s">
        <v>46</v>
      </c>
      <c r="B6" s="18">
        <f>10^3/B4</f>
        <v>52.083333333333336</v>
      </c>
      <c r="C6" s="14" t="s">
        <v>37</v>
      </c>
      <c r="D6" s="14"/>
      <c r="E6" s="14"/>
      <c r="F6" s="14"/>
      <c r="G6" s="14"/>
      <c r="H6" s="14"/>
      <c r="I6" s="14"/>
      <c r="J6" s="14"/>
    </row>
    <row r="7" spans="1:10">
      <c r="A7" s="24" t="s">
        <v>89</v>
      </c>
      <c r="B7" s="26">
        <v>20</v>
      </c>
      <c r="C7" s="14" t="s">
        <v>37</v>
      </c>
      <c r="D7" s="14"/>
      <c r="E7" s="14"/>
      <c r="F7" s="14"/>
      <c r="G7" s="14"/>
      <c r="H7" s="14"/>
      <c r="I7" s="14"/>
      <c r="J7" s="14"/>
    </row>
    <row r="8" spans="1:10">
      <c r="A8" s="29"/>
      <c r="B8" s="138" t="s">
        <v>92</v>
      </c>
      <c r="C8" s="139"/>
      <c r="D8" s="140" t="s">
        <v>77</v>
      </c>
      <c r="E8" s="140"/>
      <c r="F8" s="140"/>
      <c r="G8" s="77" t="s">
        <v>130</v>
      </c>
      <c r="H8" s="141" t="s">
        <v>186</v>
      </c>
      <c r="I8" s="14"/>
      <c r="J8" s="14"/>
    </row>
    <row r="9" spans="1:10">
      <c r="A9" s="30"/>
      <c r="B9" s="27" t="s">
        <v>50</v>
      </c>
      <c r="C9" s="19" t="s">
        <v>51</v>
      </c>
      <c r="D9" s="123" t="s">
        <v>63</v>
      </c>
      <c r="E9" s="123" t="s">
        <v>64</v>
      </c>
      <c r="F9" s="20"/>
      <c r="G9" s="77" t="s">
        <v>49</v>
      </c>
      <c r="H9" s="142"/>
      <c r="I9" s="14"/>
      <c r="J9" s="14"/>
    </row>
    <row r="10" spans="1:10">
      <c r="A10" s="30" t="s">
        <v>32</v>
      </c>
      <c r="B10" s="28">
        <v>38</v>
      </c>
      <c r="C10" s="21">
        <v>95</v>
      </c>
      <c r="D10" s="18">
        <f>MAX(ROUNDUP((B10/$B$5-$F$11*4)/8, 0),0)</f>
        <v>3</v>
      </c>
      <c r="E10" s="18">
        <f>MAX(ROUNDDOWN((C10/$B$5-$F$11*4)/8, 0),0)</f>
        <v>5</v>
      </c>
      <c r="F10" s="18">
        <f>ROUNDUP((E10-D10)*($F$60/100)+D10, 0)</f>
        <v>4</v>
      </c>
      <c r="G10" s="22">
        <f t="shared" ref="G10:G16" si="0">IF(F10&lt;0, 0, F10)</f>
        <v>4</v>
      </c>
      <c r="H10" s="17">
        <f>(G10*8 +G11*4)*$B$5</f>
        <v>75.650118203309688</v>
      </c>
      <c r="I10" s="14" t="str">
        <f>IF(OR(H10&lt;B10, H10&gt;C10), "fail", "")</f>
        <v/>
      </c>
      <c r="J10" s="14"/>
    </row>
    <row r="11" spans="1:10" ht="28.5" customHeight="1">
      <c r="A11" s="84" t="s">
        <v>223</v>
      </c>
      <c r="B11" s="28"/>
      <c r="C11" s="21"/>
      <c r="D11" s="18"/>
      <c r="E11" s="18"/>
      <c r="F11" s="18">
        <f>IF(B3&lt;90, 1, 0)</f>
        <v>0</v>
      </c>
      <c r="G11" s="22">
        <f t="shared" si="0"/>
        <v>0</v>
      </c>
      <c r="H11" s="17"/>
      <c r="I11" s="14"/>
      <c r="J11" s="14"/>
    </row>
    <row r="12" spans="1:10">
      <c r="A12" s="30" t="s">
        <v>34</v>
      </c>
      <c r="B12" s="28">
        <f>300-H10</f>
        <v>224.34988179669031</v>
      </c>
      <c r="C12" s="21"/>
      <c r="D12" s="18">
        <f>ROUNDUP((B12/$B$5)/8, 0) - 1</f>
        <v>11</v>
      </c>
      <c r="E12" s="18">
        <f>IF(D12&gt; 255, 511, 255)</f>
        <v>255</v>
      </c>
      <c r="F12" s="18">
        <f>ROUNDUP((E12-D12)*($F$67/100)+D12, 0)</f>
        <v>16</v>
      </c>
      <c r="G12" s="22">
        <f t="shared" si="0"/>
        <v>16</v>
      </c>
      <c r="H12" s="17">
        <f>((G12+1)*8)*$B$5</f>
        <v>321.51300236406615</v>
      </c>
      <c r="I12" s="14">
        <f>H10+H12</f>
        <v>397.16312056737581</v>
      </c>
      <c r="J12" s="14"/>
    </row>
    <row r="13" spans="1:10">
      <c r="A13" s="30" t="s">
        <v>35</v>
      </c>
      <c r="B13" s="28">
        <v>60</v>
      </c>
      <c r="C13" s="21">
        <f>C24-$B$7</f>
        <v>113.36879432624113</v>
      </c>
      <c r="D13" s="18">
        <f>ROUNDUP((B13/$B$5)/8, 0)-1</f>
        <v>3</v>
      </c>
      <c r="E13" s="18">
        <f>ROUNDDOWN((C13/$B$5)/8, 0)-1</f>
        <v>4</v>
      </c>
      <c r="F13" s="18">
        <f>ROUNDUP((E13-D13)*($F$63/100)+D13, 0)</f>
        <v>4</v>
      </c>
      <c r="G13" s="22">
        <f t="shared" si="0"/>
        <v>4</v>
      </c>
      <c r="H13" s="17">
        <f>((G13+1)*8)*$B$5</f>
        <v>94.562647754137117</v>
      </c>
      <c r="I13" s="14" t="str">
        <f t="shared" ref="I13:I14" si="1">IF(OR(H13&lt;B13, H13&gt;C13), "fail", "")</f>
        <v/>
      </c>
      <c r="J13" s="14"/>
    </row>
    <row r="14" spans="1:10">
      <c r="A14" s="30" t="s">
        <v>38</v>
      </c>
      <c r="B14" s="28">
        <f>40+4*B5</f>
        <v>49.456264775413715</v>
      </c>
      <c r="C14" s="21">
        <f>85+6*B5</f>
        <v>99.184397163120565</v>
      </c>
      <c r="D14" s="18">
        <f>MAX(ROUNDUP((B14/$B$5-$F$18*4)/8, 0),0)</f>
        <v>3</v>
      </c>
      <c r="E14" s="18">
        <f>MAX(ROUNDDOWN((C14/$B$5-$F$18*4)/8, 0),0)</f>
        <v>5</v>
      </c>
      <c r="F14" s="18">
        <f>ROUNDUP((E14-D14)*($F$61/100)+D14, 0)</f>
        <v>4</v>
      </c>
      <c r="G14" s="22">
        <f t="shared" si="0"/>
        <v>4</v>
      </c>
      <c r="H14" s="17">
        <f>(G14*8+G18*4)*$B$5</f>
        <v>75.650118203309688</v>
      </c>
      <c r="I14" s="14" t="str">
        <f t="shared" si="1"/>
        <v/>
      </c>
      <c r="J14" s="14"/>
    </row>
    <row r="15" spans="1:10">
      <c r="A15" s="30" t="s">
        <v>39</v>
      </c>
      <c r="B15" s="28">
        <f>145+10*B5-H14</f>
        <v>92.990543735224577</v>
      </c>
      <c r="C15" s="21"/>
      <c r="D15" s="18">
        <f>ROUNDUP((B15/$B$5 )/8, 0) - 1</f>
        <v>4</v>
      </c>
      <c r="E15" s="18">
        <v>255</v>
      </c>
      <c r="F15" s="18">
        <f>ROUNDUP((E15-D15)*($F$64/100)+D15, 0)</f>
        <v>30</v>
      </c>
      <c r="G15" s="22">
        <f t="shared" si="0"/>
        <v>30</v>
      </c>
      <c r="H15" s="17">
        <f>((G15+1)*8)*$B$5</f>
        <v>586.28841607565005</v>
      </c>
      <c r="I15" s="14">
        <f>H14+H15</f>
        <v>661.93853427895976</v>
      </c>
      <c r="J15" s="14"/>
    </row>
    <row r="16" spans="1:10">
      <c r="A16" s="30" t="s">
        <v>40</v>
      </c>
      <c r="B16" s="28">
        <f xml:space="preserve"> 60+4*B5</f>
        <v>69.456264775413715</v>
      </c>
      <c r="C16" s="21">
        <f>C23-$B$7</f>
        <v>113.36879432624113</v>
      </c>
      <c r="D16" s="18">
        <f>ROUNDUP((B16/$B$5)/8, 0)-1</f>
        <v>3</v>
      </c>
      <c r="E16" s="18">
        <f>ROUNDDOWN((C16/$B$5)/8, 0)-1</f>
        <v>4</v>
      </c>
      <c r="F16" s="18">
        <f>ROUNDUP((E16-D16)*($F$63/100)+D16, 0)</f>
        <v>4</v>
      </c>
      <c r="G16" s="22">
        <f t="shared" si="0"/>
        <v>4</v>
      </c>
      <c r="H16" s="17">
        <f>((G16+1)*8)*$B$5</f>
        <v>94.562647754137117</v>
      </c>
      <c r="I16" s="14" t="str">
        <f>IF(OR(H16&lt;B16, H16&gt;C16), "fail", "")</f>
        <v/>
      </c>
      <c r="J16" s="14"/>
    </row>
    <row r="17" spans="1:10">
      <c r="A17" s="30" t="s">
        <v>170</v>
      </c>
      <c r="B17" s="28">
        <v>50</v>
      </c>
      <c r="C17" s="21"/>
      <c r="D17" s="18"/>
      <c r="E17" s="18"/>
      <c r="F17" s="18">
        <f>MAX(ROUNDUP((B17/B5+4*F18-8)/8, 0), 0)</f>
        <v>2</v>
      </c>
      <c r="G17" s="22">
        <f>IF(F17&lt;0, 0, F17)</f>
        <v>2</v>
      </c>
      <c r="H17" s="17">
        <f xml:space="preserve"> ((G17+1)*8 - (G18*4))*$B$5</f>
        <v>56.737588652482266</v>
      </c>
      <c r="I17" s="14" t="str">
        <f>IF(H17&lt;B17, "fail", "")</f>
        <v/>
      </c>
      <c r="J17" s="14"/>
    </row>
    <row r="18" spans="1:10" ht="37.5" customHeight="1">
      <c r="A18" s="84" t="s">
        <v>224</v>
      </c>
      <c r="B18" s="28"/>
      <c r="C18" s="21"/>
      <c r="D18" s="18"/>
      <c r="E18" s="18"/>
      <c r="F18" s="18">
        <f>IF(B3&lt;120, 1, 0)</f>
        <v>0</v>
      </c>
      <c r="G18" s="22">
        <f>IF(F18&lt;0, 0, F18)</f>
        <v>0</v>
      </c>
      <c r="H18" s="17"/>
      <c r="I18" s="14"/>
      <c r="J18" s="14"/>
    </row>
    <row r="19" spans="1:10">
      <c r="A19" s="30" t="s">
        <v>42</v>
      </c>
      <c r="B19" s="28">
        <v>100</v>
      </c>
      <c r="C19" s="21"/>
      <c r="D19" s="18">
        <f t="shared" ref="D19" si="2">ROUNDUP(B19/$B$5/8, 0) - 1</f>
        <v>5</v>
      </c>
      <c r="E19" s="18">
        <v>255</v>
      </c>
      <c r="F19" s="18">
        <f>ROUNDUP((E19-D19)*($F$62/100)+D19, 0)</f>
        <v>30</v>
      </c>
      <c r="G19" s="22">
        <f>IF(F19&lt;0, 0, F19)</f>
        <v>30</v>
      </c>
      <c r="H19" s="17">
        <f t="shared" ref="H19" si="3">(G19+1)*$B$5*8</f>
        <v>586.28841607565005</v>
      </c>
      <c r="I19" s="14" t="str">
        <f>IF(H19&lt;B19, "fail", "")</f>
        <v/>
      </c>
      <c r="J19" s="14"/>
    </row>
    <row r="20" spans="1:10">
      <c r="A20" s="30" t="s">
        <v>43</v>
      </c>
      <c r="B20" s="28">
        <f>4*B6</f>
        <v>208.33333333333334</v>
      </c>
      <c r="C20" s="21">
        <f>4*B6</f>
        <v>208.33333333333334</v>
      </c>
      <c r="D20" s="18"/>
      <c r="E20" s="18"/>
      <c r="F20" s="18">
        <f>B20</f>
        <v>208.33333333333334</v>
      </c>
      <c r="G20" s="22">
        <v>3</v>
      </c>
      <c r="H20" s="18">
        <f>(G20+1)*10^3/$B$4</f>
        <v>208.33333333333334</v>
      </c>
      <c r="I20" s="14"/>
      <c r="J20" s="14"/>
    </row>
    <row r="21" spans="1:10">
      <c r="A21" s="30" t="s">
        <v>45</v>
      </c>
      <c r="B21" s="28">
        <f>B6</f>
        <v>52.083333333333336</v>
      </c>
      <c r="C21" s="21">
        <f>2*B6</f>
        <v>104.16666666666667</v>
      </c>
      <c r="D21" s="18"/>
      <c r="E21" s="18"/>
      <c r="F21" s="18">
        <f>B21</f>
        <v>52.083333333333336</v>
      </c>
      <c r="G21" s="22">
        <v>0</v>
      </c>
      <c r="H21" s="18">
        <f>(G21+2)*10^3/$B$4</f>
        <v>104.16666666666667</v>
      </c>
      <c r="I21" s="14"/>
      <c r="J21" s="14"/>
    </row>
    <row r="22" spans="1:10">
      <c r="A22" s="30" t="s">
        <v>44</v>
      </c>
      <c r="B22" s="28">
        <f>5*B6</f>
        <v>260.41666666666669</v>
      </c>
      <c r="C22" s="21">
        <f>5*B6</f>
        <v>260.41666666666669</v>
      </c>
      <c r="D22" s="18"/>
      <c r="E22" s="18"/>
      <c r="F22" s="18">
        <f>B22</f>
        <v>260.41666666666669</v>
      </c>
      <c r="G22" s="22">
        <v>4</v>
      </c>
      <c r="H22" s="18">
        <f>(G22+1)*10^3/$B$4</f>
        <v>260.41666666666669</v>
      </c>
      <c r="I22" s="14"/>
      <c r="J22" s="14"/>
    </row>
    <row r="23" spans="1:10">
      <c r="A23" s="30" t="s">
        <v>90</v>
      </c>
      <c r="B23" s="28"/>
      <c r="C23" s="21">
        <f>105+12*$B$5</f>
        <v>133.36879432624113</v>
      </c>
      <c r="D23" s="18"/>
      <c r="E23" s="18"/>
      <c r="F23" s="18"/>
      <c r="G23" s="23"/>
      <c r="H23" s="18">
        <f>H16+$B$7/2</f>
        <v>104.56264775413712</v>
      </c>
      <c r="I23" s="14"/>
      <c r="J23" s="14"/>
    </row>
    <row r="24" spans="1:10">
      <c r="A24" s="30" t="s">
        <v>91</v>
      </c>
      <c r="B24" s="28"/>
      <c r="C24" s="21">
        <f>105+12*$B$5</f>
        <v>133.36879432624113</v>
      </c>
      <c r="D24" s="18"/>
      <c r="E24" s="18"/>
      <c r="F24" s="18"/>
      <c r="G24" s="23"/>
      <c r="H24" s="18">
        <f>H13 + $B$7/2</f>
        <v>104.56264775413712</v>
      </c>
      <c r="I24" s="14"/>
      <c r="J24" s="14"/>
    </row>
    <row r="25" spans="1:10">
      <c r="A25" s="30" t="s">
        <v>47</v>
      </c>
      <c r="B25" s="28">
        <f>60+52*B5</f>
        <v>182.93144208037825</v>
      </c>
      <c r="C25" s="21"/>
      <c r="D25" s="18">
        <f>ROUNDUP((B25+(G13 + 1) * 8 * $B$5 + 2.5*B5)/(16*B5), 0)-1</f>
        <v>7</v>
      </c>
      <c r="E25" s="18">
        <v>255</v>
      </c>
      <c r="F25" s="18">
        <f>ROUNDUP((E25-D25)*($F$66/100)+D25, 0)</f>
        <v>20</v>
      </c>
      <c r="G25" s="22">
        <f>IF(F25&lt;0, 0, F25)</f>
        <v>20</v>
      </c>
      <c r="H25" s="18">
        <f>(G25+1)*16*B5-0.5*B5-H16</f>
        <v>698.58156028368785</v>
      </c>
      <c r="I25" s="14"/>
      <c r="J25" s="14"/>
    </row>
    <row r="26" spans="1:10">
      <c r="A26" s="30" t="s">
        <v>48</v>
      </c>
      <c r="B26" s="28">
        <f>8*B5</f>
        <v>18.912529550827422</v>
      </c>
      <c r="C26" s="21"/>
      <c r="D26" s="18">
        <f>ROUNDUP((B26+(G27+1+G10+G12+1)*8*$B$5-2.5*$B$5)/(16*$B$5),0)-1</f>
        <v>12</v>
      </c>
      <c r="E26" s="18">
        <v>255</v>
      </c>
      <c r="F26" s="18">
        <f>ROUNDUP((E26-D26)*($F$65/100)+D26, 0)</f>
        <v>16</v>
      </c>
      <c r="G26" s="22">
        <f>IF(F26&lt;0, 0, IF(D26&gt;E26, ROUNDDOWN(F26/2, 0), F26))</f>
        <v>16</v>
      </c>
      <c r="H26" s="18">
        <f>(G26+1)*16*B5- (G27 + 1 + G10 +G12 + 1)* 8 * $B$5 + 2.5 * $B$5</f>
        <v>195.03546099290776</v>
      </c>
      <c r="I26" s="14"/>
      <c r="J26" s="14"/>
    </row>
    <row r="27" spans="1:10">
      <c r="A27" s="30" t="s">
        <v>182</v>
      </c>
      <c r="B27" s="28">
        <v>50</v>
      </c>
      <c r="C27" s="21"/>
      <c r="D27" s="18"/>
      <c r="E27" s="18"/>
      <c r="F27" s="18">
        <f>MAX(ROUNDUP((B27/$B$5+4*$F$11-8)/8, 0), 0)</f>
        <v>2</v>
      </c>
      <c r="G27" s="22">
        <f>IF(F27&lt;0, 0, F27)</f>
        <v>2</v>
      </c>
      <c r="H27" s="17">
        <f>IF(G11=0, (G27+1)*$B$5*8, (G27+0.5)*$B$5*8)</f>
        <v>56.737588652482266</v>
      </c>
      <c r="I27" s="14" t="str">
        <f>IF(H27&lt;B27, "fail", "")</f>
        <v/>
      </c>
      <c r="J27" s="14"/>
    </row>
    <row r="28" spans="1:10">
      <c r="A28" s="30" t="s">
        <v>131</v>
      </c>
      <c r="B28" s="3"/>
      <c r="C28" s="3"/>
      <c r="D28" s="5"/>
      <c r="E28" s="14"/>
      <c r="F28" s="14"/>
      <c r="G28" s="14"/>
      <c r="H28" s="18">
        <f>SUM(H10:H17) +  H19+SUM(H25:H27)  +B6+8*B5</f>
        <v>2912.603427895981</v>
      </c>
      <c r="I28" s="14"/>
      <c r="J28" s="14"/>
    </row>
    <row r="29" spans="1:10" s="14" customFormat="1">
      <c r="A29" s="129"/>
      <c r="B29" s="3"/>
      <c r="C29" s="3"/>
      <c r="D29" s="5"/>
      <c r="H29" s="86"/>
    </row>
    <row r="30" spans="1:10" s="14" customFormat="1" ht="15.75">
      <c r="A30" s="130" t="s">
        <v>279</v>
      </c>
      <c r="B30" s="143" t="s">
        <v>270</v>
      </c>
      <c r="C30" s="139"/>
      <c r="D30" s="140" t="s">
        <v>77</v>
      </c>
      <c r="E30" s="140"/>
      <c r="F30" s="140"/>
      <c r="G30" s="77" t="s">
        <v>130</v>
      </c>
      <c r="H30" s="144" t="s">
        <v>186</v>
      </c>
    </row>
    <row r="31" spans="1:10" s="14" customFormat="1">
      <c r="A31" s="30"/>
      <c r="B31" s="27" t="s">
        <v>50</v>
      </c>
      <c r="C31" s="19" t="s">
        <v>51</v>
      </c>
      <c r="D31" s="124" t="s">
        <v>63</v>
      </c>
      <c r="E31" s="124" t="s">
        <v>64</v>
      </c>
      <c r="F31" s="20"/>
      <c r="G31" s="77"/>
      <c r="H31" s="145"/>
    </row>
    <row r="32" spans="1:10" s="14" customFormat="1">
      <c r="A32" s="30" t="s">
        <v>268</v>
      </c>
      <c r="B32" s="31">
        <f>IF(B3&gt;1500, B5*(2^15), 0)</f>
        <v>0</v>
      </c>
      <c r="C32" s="31">
        <f>IF(B3&gt;1500, 100*1000, 0)</f>
        <v>0</v>
      </c>
      <c r="D32" s="128">
        <f>IF(B3&gt;1500, ROUNDUP((B32+1000)/(8*$B$5),0), 0)</f>
        <v>0</v>
      </c>
      <c r="E32" s="128">
        <f>IF(B3&gt;1500, ROUNDDOWN((C32+1000)/(8*$B$5), 0), 0)</f>
        <v>0</v>
      </c>
      <c r="F32" s="26">
        <f>ROUNDUP((E32-D32)*($F$68/100)+D32, 0)</f>
        <v>0</v>
      </c>
      <c r="G32" s="26">
        <f>IF(F32&lt;0, 0, F32)</f>
        <v>0</v>
      </c>
      <c r="H32" s="18">
        <f>IF(G32&gt;0, G32*8*B5-1000, 0)</f>
        <v>0</v>
      </c>
      <c r="I32" s="14" t="str">
        <f>IF(OR(H32&lt;B32, H32&gt;C32), "fail", "")</f>
        <v/>
      </c>
    </row>
    <row r="33" spans="1:10" s="14" customFormat="1">
      <c r="A33" s="30" t="s">
        <v>269</v>
      </c>
      <c r="B33" s="31">
        <f>IF(B3&gt;1500, B5*(2^12), 0)</f>
        <v>0</v>
      </c>
      <c r="C33" s="31">
        <f>IF(B3&gt;1500,         MIN(10,                   IF(AND('DSI and MDP registers'!C107&lt;5, 'DSI and MDP registers'!C30=1),                        'DSI and MDP registers'!C107-2*((H14+H15+H16+H17+H19)/1000),                        'DSI and MDP registers'!C107-2*(H28/1000)                       )                   )*1000,          0)</f>
        <v>0</v>
      </c>
      <c r="D33" s="128">
        <f>IF(B3&gt;1500,       IF(AND('DSI and MDP registers'!C107&lt;5, 'DSI and MDP registers'!C30=1),           ROUNDUP((B33+I15+H17)/(8*$B$5),0),           ROUNDUP((B33+I12+H27+H26)/(8*$B$5),0)          ),      0)</f>
        <v>0</v>
      </c>
      <c r="E33" s="128">
        <f>IF(B3&gt;1500,       IF(AND('DSI and MDP registers'!C107&lt;5, 'DSI and MDP registers'!C30=1),           ROUNDDOWN((C33+I15+H17)/(8*$B$5),0),           ROUNDOWN((C33+I12+H27+H26)/(8*$B$5),0)          ),      0)</f>
        <v>0</v>
      </c>
      <c r="F33" s="26">
        <f>ROUNDUP((E33-D33)*($F$69/100)+D33, 0)</f>
        <v>0</v>
      </c>
      <c r="G33" s="26">
        <f>IF(F33&lt;0, 0, F33)</f>
        <v>0</v>
      </c>
      <c r="H33" s="18">
        <f>IF(G33&gt;0,       IF(AND('DSI and MDP registers'!C107&lt;5, 'DSI and MDP registers'!C30=1),           G33*8*B5-I15-H17,           G33*8*B5-I12-H27-H26          ),     0)</f>
        <v>0</v>
      </c>
      <c r="I33" s="14" t="str">
        <f>IF(OR(H33&lt;B33,             H33&gt;C33,             IF(AND('DSI and MDP registers'!C107&lt;5, 'DSI and MDP registers'!C30=1),                 (H33+2*(H14+H15+H16+H17+H19)&gt;'DSI and MDP registers'!C107*1000),                 (H33+2*H28&gt;'DSI and MDP registers'!C107*1000)                )             ),        "fail",        ""      )</f>
        <v/>
      </c>
    </row>
    <row r="34" spans="1:10" s="14" customFormat="1" ht="38.25">
      <c r="A34" s="81" t="s">
        <v>276</v>
      </c>
      <c r="B34" s="31"/>
      <c r="C34" s="31"/>
      <c r="D34" s="128">
        <f>ROUNDUP(11.5+13/'DSI and MDP registers'!C4/'DSI and MDP registers'!C3/2+('DSI PHY 4.0.0 DPHY timing'!G16+'DSI PHY 4.0.0 DPHY timing'!G19+1)/2+2, 0)</f>
        <v>32</v>
      </c>
      <c r="E34" s="128"/>
      <c r="F34" s="26"/>
      <c r="G34" s="26">
        <f>D34</f>
        <v>32</v>
      </c>
      <c r="H34" s="18">
        <f>(G34+1)*16*B5-H16</f>
        <v>1153.6643026004729</v>
      </c>
    </row>
    <row r="35" spans="1:10">
      <c r="A35" s="127"/>
      <c r="B35" s="85"/>
      <c r="C35" s="85"/>
      <c r="D35" s="126"/>
      <c r="E35" s="126"/>
      <c r="F35" s="126"/>
      <c r="G35" s="126"/>
      <c r="H35" s="126"/>
      <c r="I35" s="14"/>
      <c r="J35" s="14"/>
    </row>
    <row r="36" spans="1:10" ht="18">
      <c r="A36" s="125" t="s">
        <v>266</v>
      </c>
      <c r="B36" s="14"/>
      <c r="C36" s="14"/>
      <c r="D36" s="14"/>
      <c r="E36" s="14"/>
      <c r="F36" s="14"/>
      <c r="G36" s="14"/>
      <c r="H36" s="14"/>
      <c r="I36" s="14"/>
      <c r="J36" s="14"/>
    </row>
    <row r="37" spans="1:10">
      <c r="A37" s="30" t="s">
        <v>261</v>
      </c>
      <c r="B37" s="31" t="s">
        <v>132</v>
      </c>
      <c r="C37" s="3"/>
      <c r="D37" s="14"/>
      <c r="E37" s="14"/>
      <c r="F37" s="14"/>
      <c r="G37" s="14"/>
      <c r="H37" s="14"/>
      <c r="I37" s="14"/>
      <c r="J37" s="14"/>
    </row>
    <row r="38" spans="1:10">
      <c r="A38" s="30" t="s">
        <v>227</v>
      </c>
      <c r="B38" s="26" t="str">
        <f>DEC2HEX(G11*2+G18)</f>
        <v>0</v>
      </c>
      <c r="C38" s="13" t="s">
        <v>228</v>
      </c>
      <c r="D38" s="14"/>
      <c r="E38" s="14"/>
      <c r="F38" s="14"/>
      <c r="G38" s="14"/>
      <c r="H38" s="14"/>
      <c r="I38" s="14"/>
      <c r="J38" s="14"/>
    </row>
    <row r="39" spans="1:10">
      <c r="A39" s="30" t="s">
        <v>229</v>
      </c>
      <c r="B39" s="26" t="str">
        <f>DEC2HEX(G12)</f>
        <v>10</v>
      </c>
      <c r="C39" s="13" t="s">
        <v>34</v>
      </c>
      <c r="D39" s="14"/>
      <c r="E39" s="14"/>
      <c r="F39" s="14"/>
      <c r="G39" s="14"/>
      <c r="H39" s="14"/>
      <c r="I39" s="14"/>
      <c r="J39" s="14"/>
    </row>
    <row r="40" spans="1:10">
      <c r="A40" s="30" t="s">
        <v>230</v>
      </c>
      <c r="B40" s="26" t="str">
        <f>DEC2HEX(G10)</f>
        <v>4</v>
      </c>
      <c r="C40" s="13" t="s">
        <v>32</v>
      </c>
      <c r="D40" s="14"/>
      <c r="E40" s="14"/>
      <c r="F40" s="14"/>
      <c r="G40" s="14"/>
      <c r="H40" s="14"/>
      <c r="I40" s="14"/>
      <c r="J40" s="14"/>
    </row>
    <row r="41" spans="1:10">
      <c r="A41" s="30" t="s">
        <v>231</v>
      </c>
      <c r="B41" s="26" t="str">
        <f>DEC2HEX(G13)</f>
        <v>4</v>
      </c>
      <c r="C41" s="13" t="s">
        <v>35</v>
      </c>
      <c r="D41" s="14"/>
      <c r="E41" s="14"/>
      <c r="F41" s="14"/>
      <c r="G41" s="14"/>
      <c r="H41" s="14"/>
      <c r="I41" s="14"/>
      <c r="J41" s="14"/>
    </row>
    <row r="42" spans="1:10">
      <c r="A42" s="30" t="s">
        <v>232</v>
      </c>
      <c r="B42" s="26" t="str">
        <f>DEC2HEX(G19)</f>
        <v>1E</v>
      </c>
      <c r="C42" s="13" t="s">
        <v>42</v>
      </c>
      <c r="D42" s="14"/>
      <c r="E42" s="14"/>
      <c r="F42" s="14"/>
      <c r="G42" s="14"/>
      <c r="H42" s="14"/>
      <c r="I42" s="14"/>
      <c r="J42" s="14"/>
    </row>
    <row r="43" spans="1:10">
      <c r="A43" s="30" t="s">
        <v>233</v>
      </c>
      <c r="B43" s="26" t="str">
        <f>DEC2HEX(G15)</f>
        <v>1E</v>
      </c>
      <c r="C43" s="13" t="s">
        <v>39</v>
      </c>
      <c r="D43" s="14"/>
      <c r="E43" s="14"/>
      <c r="F43" s="14"/>
      <c r="G43" s="14"/>
      <c r="H43" s="14"/>
      <c r="I43" s="14"/>
      <c r="J43" s="14"/>
    </row>
    <row r="44" spans="1:10">
      <c r="A44" s="30" t="s">
        <v>234</v>
      </c>
      <c r="B44" s="26" t="str">
        <f>DEC2HEX(G14)</f>
        <v>4</v>
      </c>
      <c r="C44" s="13" t="s">
        <v>38</v>
      </c>
      <c r="D44" s="14"/>
      <c r="E44" s="14"/>
      <c r="F44" s="14"/>
      <c r="G44" s="14"/>
      <c r="H44" s="14"/>
      <c r="I44" s="14"/>
      <c r="J44" s="14"/>
    </row>
    <row r="45" spans="1:10">
      <c r="A45" s="30" t="s">
        <v>235</v>
      </c>
      <c r="B45" s="26" t="str">
        <f>DEC2HEX(G16)</f>
        <v>4</v>
      </c>
      <c r="C45" s="13" t="s">
        <v>40</v>
      </c>
      <c r="D45" s="14"/>
      <c r="E45" s="14"/>
      <c r="F45" s="14"/>
      <c r="G45" s="14"/>
      <c r="H45" s="14"/>
      <c r="I45" s="14"/>
      <c r="J45" s="14"/>
    </row>
    <row r="46" spans="1:10">
      <c r="A46" s="30" t="s">
        <v>236</v>
      </c>
      <c r="B46" s="26" t="str">
        <f>DEC2HEX(MAX(G17, G27))</f>
        <v>2</v>
      </c>
      <c r="C46" s="13" t="s">
        <v>41</v>
      </c>
      <c r="D46" s="14"/>
      <c r="E46" s="14"/>
      <c r="F46" s="14"/>
      <c r="G46" s="14"/>
      <c r="H46" s="14"/>
      <c r="I46" s="14"/>
      <c r="J46" s="14"/>
    </row>
    <row r="47" spans="1:10">
      <c r="A47" s="30" t="s">
        <v>237</v>
      </c>
      <c r="B47" s="26" t="str">
        <f>DEC2HEX(G21*2^4+G20)</f>
        <v>3</v>
      </c>
      <c r="C47" s="13" t="s">
        <v>267</v>
      </c>
      <c r="D47" s="14"/>
      <c r="E47" s="14"/>
      <c r="F47" s="14"/>
      <c r="G47" s="14"/>
      <c r="H47" s="14"/>
      <c r="I47" s="14"/>
      <c r="J47" s="14"/>
    </row>
    <row r="48" spans="1:10">
      <c r="A48" s="30" t="s">
        <v>238</v>
      </c>
      <c r="B48" s="26" t="str">
        <f>DEC2HEX(G22)</f>
        <v>4</v>
      </c>
      <c r="C48" s="13" t="s">
        <v>44</v>
      </c>
      <c r="D48" s="14"/>
      <c r="E48" s="14"/>
      <c r="F48" s="14"/>
      <c r="G48" s="14"/>
      <c r="H48" s="14"/>
      <c r="I48" s="14"/>
      <c r="J48" s="14"/>
    </row>
    <row r="49" spans="1:10" s="14" customFormat="1">
      <c r="A49" s="30" t="s">
        <v>262</v>
      </c>
      <c r="B49" s="26" t="str">
        <f>DEC2HEX(G26)</f>
        <v>10</v>
      </c>
      <c r="C49" s="13" t="s">
        <v>48</v>
      </c>
    </row>
    <row r="50" spans="1:10" s="14" customFormat="1">
      <c r="A50" s="30" t="s">
        <v>263</v>
      </c>
      <c r="B50" s="26" t="str">
        <f>IF(AND('DSI and MDP registers'!C29, 'DSI and MDP registers'!C30, 'DSI and MDP registers'!C107&lt;5),       DEC2HEX(MAX(G25, G34)),       DEC2HEX(G25)      )</f>
        <v>14</v>
      </c>
      <c r="C50" s="13" t="s">
        <v>47</v>
      </c>
    </row>
    <row r="51" spans="1:10" s="14" customFormat="1">
      <c r="A51" s="30" t="s">
        <v>264</v>
      </c>
      <c r="B51" s="70">
        <f>0</f>
        <v>0</v>
      </c>
      <c r="C51" s="13"/>
    </row>
    <row r="52" spans="1:10">
      <c r="A52" s="87"/>
      <c r="B52" s="26"/>
      <c r="C52" s="13"/>
      <c r="D52" s="14"/>
      <c r="E52" s="14"/>
      <c r="F52" s="14"/>
      <c r="G52" s="14"/>
      <c r="H52" s="14"/>
      <c r="I52" s="14"/>
      <c r="J52" s="14"/>
    </row>
    <row r="53" spans="1:10" ht="18">
      <c r="A53" s="71" t="s">
        <v>81</v>
      </c>
      <c r="B53" s="26"/>
      <c r="C53" s="14"/>
      <c r="D53" s="14"/>
      <c r="E53" s="14"/>
      <c r="F53" s="14"/>
      <c r="G53" s="14"/>
      <c r="H53" s="14"/>
      <c r="I53" s="14"/>
      <c r="J53" s="14"/>
    </row>
    <row r="54" spans="1:10">
      <c r="A54" s="30" t="s">
        <v>151</v>
      </c>
      <c r="B54" s="70">
        <f>0</f>
        <v>0</v>
      </c>
      <c r="C54" s="13"/>
      <c r="D54" s="14"/>
      <c r="E54" s="14"/>
      <c r="F54" s="14"/>
      <c r="G54" s="14"/>
      <c r="H54" s="14"/>
      <c r="I54" s="14"/>
      <c r="J54" s="14"/>
    </row>
    <row r="55" spans="1:10">
      <c r="A55" s="30" t="s">
        <v>152</v>
      </c>
      <c r="B55" s="70">
        <f>0</f>
        <v>0</v>
      </c>
      <c r="C55" s="14"/>
      <c r="D55" s="14"/>
      <c r="E55" s="14"/>
      <c r="F55" s="14"/>
      <c r="G55" s="14"/>
      <c r="H55" s="14"/>
      <c r="I55" s="14"/>
      <c r="J55" s="14"/>
    </row>
    <row r="56" spans="1:10">
      <c r="A56" s="30" t="s">
        <v>265</v>
      </c>
      <c r="B56" s="70">
        <f>0</f>
        <v>0</v>
      </c>
      <c r="C56" s="14"/>
      <c r="D56" s="14"/>
      <c r="E56" s="14"/>
      <c r="F56" s="14"/>
      <c r="G56" s="14"/>
      <c r="H56" s="14"/>
      <c r="I56" s="14"/>
      <c r="J56" s="14"/>
    </row>
    <row r="57" spans="1:10" ht="25.5">
      <c r="A57" s="81" t="s">
        <v>273</v>
      </c>
      <c r="B57" s="26" t="str">
        <f>DEC2HEX(G32*2^16+1000/8/B5)</f>
        <v>34</v>
      </c>
      <c r="C57" s="14"/>
      <c r="D57" s="14"/>
      <c r="E57" s="14"/>
      <c r="F57" s="14"/>
      <c r="G57" s="14"/>
      <c r="H57" s="14"/>
      <c r="I57" s="14"/>
      <c r="J57" s="14"/>
    </row>
    <row r="58" spans="1:10" ht="25.5">
      <c r="A58" s="81" t="s">
        <v>274</v>
      </c>
      <c r="B58" s="26">
        <f>IF('DSI and MDP registers'!C29=1,        IF('DSI and MDP registers'!C107&gt;5,             DEC2HEX(G33*2^16+1000/8/B5),             DEC2HEX(G33*2^16)            ),         0)</f>
        <v>0</v>
      </c>
      <c r="C58" s="14"/>
      <c r="D58" s="14"/>
      <c r="E58" s="14"/>
      <c r="F58" s="14"/>
      <c r="G58" s="14"/>
      <c r="H58" s="14"/>
      <c r="I58" s="14"/>
      <c r="J58" s="14"/>
    </row>
    <row r="59" spans="1:10" ht="38.25">
      <c r="A59" s="81" t="s">
        <v>275</v>
      </c>
      <c r="B59" s="26">
        <f>IF(AND('DSI and MDP registers'!C29, 'DSI and MDP registers'!C30, 'DSI and MDP registers'!C107&lt;5), 1, 0)</f>
        <v>0</v>
      </c>
      <c r="C59" s="14"/>
      <c r="D59" s="14"/>
      <c r="E59" s="14"/>
      <c r="F59" s="14"/>
      <c r="G59" s="14"/>
      <c r="H59" s="14"/>
      <c r="I59" s="14"/>
      <c r="J59" s="14"/>
    </row>
    <row r="60" spans="1:10">
      <c r="A60" s="14"/>
      <c r="B60" s="14"/>
      <c r="C60" s="14"/>
      <c r="D60" s="14"/>
      <c r="E60" s="15" t="s">
        <v>98</v>
      </c>
      <c r="F60" s="14">
        <v>50</v>
      </c>
      <c r="G60" s="14"/>
      <c r="H60" s="14"/>
      <c r="I60" s="14"/>
      <c r="J60" s="14"/>
    </row>
    <row r="61" spans="1:10">
      <c r="A61" s="14"/>
      <c r="B61" s="14"/>
      <c r="C61" s="14"/>
      <c r="D61" s="14"/>
      <c r="E61" s="15" t="s">
        <v>99</v>
      </c>
      <c r="F61" s="14">
        <v>50</v>
      </c>
      <c r="G61" s="14"/>
      <c r="H61" s="14"/>
      <c r="I61" s="14"/>
      <c r="J61" s="14"/>
    </row>
    <row r="62" spans="1:10">
      <c r="A62" s="14"/>
      <c r="B62" s="14"/>
      <c r="C62" s="14"/>
      <c r="D62" s="14"/>
      <c r="E62" s="15" t="s">
        <v>93</v>
      </c>
      <c r="F62" s="14">
        <v>10</v>
      </c>
      <c r="G62" s="14"/>
      <c r="H62" s="14"/>
      <c r="I62" s="14"/>
      <c r="J62" s="14"/>
    </row>
    <row r="63" spans="1:10">
      <c r="A63" s="14"/>
      <c r="B63" s="14"/>
      <c r="C63" s="14"/>
      <c r="D63" s="14"/>
      <c r="E63" s="15" t="s">
        <v>94</v>
      </c>
      <c r="F63" s="14">
        <v>30</v>
      </c>
      <c r="G63" s="14"/>
      <c r="H63" s="14"/>
      <c r="I63" s="14"/>
      <c r="J63" s="14"/>
    </row>
    <row r="64" spans="1:10">
      <c r="A64" s="14"/>
      <c r="B64" s="14"/>
      <c r="C64" s="14"/>
      <c r="D64" s="14"/>
      <c r="E64" s="15" t="s">
        <v>189</v>
      </c>
      <c r="F64" s="14">
        <v>10</v>
      </c>
      <c r="G64" s="14"/>
      <c r="H64" s="14"/>
      <c r="I64" s="14"/>
      <c r="J64" s="14"/>
    </row>
    <row r="65" spans="1:10">
      <c r="A65" s="14"/>
      <c r="B65" s="14"/>
      <c r="C65" s="14"/>
      <c r="D65" s="14"/>
      <c r="E65" s="15" t="s">
        <v>239</v>
      </c>
      <c r="F65" s="14">
        <v>1.25</v>
      </c>
      <c r="G65" s="14"/>
      <c r="H65" s="14"/>
      <c r="I65" s="14"/>
      <c r="J65" s="14"/>
    </row>
    <row r="66" spans="1:10">
      <c r="A66" s="14"/>
      <c r="B66" s="14"/>
      <c r="C66" s="14"/>
      <c r="D66" s="14"/>
      <c r="E66" s="15" t="s">
        <v>240</v>
      </c>
      <c r="F66" s="14">
        <v>5</v>
      </c>
      <c r="G66" s="14"/>
      <c r="H66" s="14"/>
      <c r="I66" s="14"/>
      <c r="J66" s="14"/>
    </row>
    <row r="67" spans="1:10">
      <c r="A67" s="14"/>
      <c r="B67" s="14"/>
      <c r="C67" s="14"/>
      <c r="D67" s="14"/>
      <c r="E67" s="15" t="s">
        <v>211</v>
      </c>
      <c r="F67" s="14">
        <v>2</v>
      </c>
      <c r="G67" s="14"/>
      <c r="H67" s="14"/>
      <c r="I67" s="14"/>
      <c r="J67" s="14"/>
    </row>
    <row r="68" spans="1:10">
      <c r="E68" s="15" t="s">
        <v>271</v>
      </c>
      <c r="F68">
        <v>5</v>
      </c>
      <c r="G68" s="14"/>
    </row>
    <row r="69" spans="1:10">
      <c r="E69" s="15" t="s">
        <v>272</v>
      </c>
      <c r="F69">
        <v>5</v>
      </c>
      <c r="G69" s="14"/>
    </row>
  </sheetData>
  <mergeCells count="6">
    <mergeCell ref="B8:C8"/>
    <mergeCell ref="D8:F8"/>
    <mergeCell ref="H8:H9"/>
    <mergeCell ref="B30:C30"/>
    <mergeCell ref="D30:F30"/>
    <mergeCell ref="H30:H31"/>
  </mergeCells>
  <phoneticPr fontId="51" type="noConversion"/>
  <pageMargins left="0.7" right="0.7" top="0.75" bottom="0.75" header="0.3" footer="0.3"/>
  <pageSetup scale="47" orientation="portrait" r:id="rId1"/>
  <headerFooter>
    <oddFooter>&amp;L&amp;8 80-NH713-1 R&amp;C &amp;P&amp;"Arial,Bold"&amp;8MAY CONTAIN U.S. AND INTERNATIONAL EXPORT CONTROLLED INFORMATION&amp;R&amp;8Confidential and Proprietary - Qualcomm Technologies, Inc.</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Document" ma:contentTypeID="0x010100CEA3F42A0B384E42A42E3E3DC05A0646" ma:contentTypeVersion="4" ma:contentTypeDescription="Create a new document." ma:contentTypeScope="" ma:versionID="ddca994f9de7cd33e4a1684d94de678f">
  <xsd:schema xmlns:xsd="http://www.w3.org/2001/XMLSchema" xmlns:xs="http://www.w3.org/2001/XMLSchema" xmlns:p="http://schemas.microsoft.com/office/2006/metadata/properties" xmlns:ns2="89bfb5dd-cfc5-4195-bbf0-64d3cf54b312" targetNamespace="http://schemas.microsoft.com/office/2006/metadata/properties" ma:root="true" ma:fieldsID="39f85f91ef4e0c65a8f261355f8d38a8" ns2:_="">
    <xsd:import namespace="89bfb5dd-cfc5-4195-bbf0-64d3cf54b312"/>
    <xsd:element name="properties">
      <xsd:complexType>
        <xsd:sequence>
          <xsd:element name="documentManagement">
            <xsd:complexType>
              <xsd:all>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9bfb5dd-cfc5-4195-bbf0-64d3cf54b312"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_dlc_DocId xmlns="89bfb5dd-cfc5-4195-bbf0-64d3cf54b312">AKWM2ZTUTVP6-2543-965</_dlc_DocId>
    <_dlc_DocIdUrl xmlns="89bfb5dd-cfc5-4195-bbf0-64d3cf54b312">
      <Url>https://sharepoint.qualcomm.com/qct/DHW/Cores/Multimedia/DS/SC/DSI/_layouts/15/DocIdRedir.aspx?ID=AKWM2ZTUTVP6-2543-965</Url>
      <Description>AKWM2ZTUTVP6-2543-965</Description>
    </_dlc_DocIdUrl>
  </documentManagement>
</p:properties>
</file>

<file path=customXml/itemProps1.xml><?xml version="1.0" encoding="utf-8"?>
<ds:datastoreItem xmlns:ds="http://schemas.openxmlformats.org/officeDocument/2006/customXml" ds:itemID="{69B924E1-E252-4034-B8AB-0F01884F0D9F}">
  <ds:schemaRefs>
    <ds:schemaRef ds:uri="http://schemas.microsoft.com/sharepoint/events"/>
  </ds:schemaRefs>
</ds:datastoreItem>
</file>

<file path=customXml/itemProps2.xml><?xml version="1.0" encoding="utf-8"?>
<ds:datastoreItem xmlns:ds="http://schemas.openxmlformats.org/officeDocument/2006/customXml" ds:itemID="{4957B007-F71A-4286-B419-3CA422CCEAF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9bfb5dd-cfc5-4195-bbf0-64d3cf54b31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3950C47-3956-4E86-B05B-E4C12FF697C7}">
  <ds:schemaRefs>
    <ds:schemaRef ds:uri="http://schemas.microsoft.com/sharepoint/v3/contenttype/forms"/>
  </ds:schemaRefs>
</ds:datastoreItem>
</file>

<file path=customXml/itemProps4.xml><?xml version="1.0" encoding="utf-8"?>
<ds:datastoreItem xmlns:ds="http://schemas.openxmlformats.org/officeDocument/2006/customXml" ds:itemID="{6C0DF2D6-B4AF-45CE-9F65-12B2E83F900D}">
  <ds:schemaRefs>
    <ds:schemaRef ds:uri="http://purl.org/dc/terms/"/>
    <ds:schemaRef ds:uri="http://www.w3.org/XML/1998/namespace"/>
    <ds:schemaRef ds:uri="http://purl.org/dc/dcmitype/"/>
    <ds:schemaRef ds:uri="http://purl.org/dc/elements/1.1/"/>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89bfb5dd-cfc5-4195-bbf0-64d3cf54b31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9</vt:i4>
      </vt:variant>
    </vt:vector>
  </HeadingPairs>
  <TitlesOfParts>
    <vt:vector size="17" baseType="lpstr">
      <vt:lpstr>Cover</vt:lpstr>
      <vt:lpstr>Rev. History</vt:lpstr>
      <vt:lpstr>User Instructions</vt:lpstr>
      <vt:lpstr>DSI and MDP registers</vt:lpstr>
      <vt:lpstr>DSI PHY timing setting</vt:lpstr>
      <vt:lpstr>DSI PHY 2.0.0 timing setting</vt:lpstr>
      <vt:lpstr>DSI PHY 3.0.0 DPHY timing</vt:lpstr>
      <vt:lpstr>DSI PHY 4.0.0 DPHY timing</vt:lpstr>
      <vt:lpstr>PHY_MAJOR_VERSION</vt:lpstr>
      <vt:lpstr>Cover!Print_Area</vt:lpstr>
      <vt:lpstr>'DSI and MDP registers'!Print_Area</vt:lpstr>
      <vt:lpstr>'DSI PHY 2.0.0 timing setting'!Print_Area</vt:lpstr>
      <vt:lpstr>'DSI PHY 3.0.0 DPHY timing'!Print_Area</vt:lpstr>
      <vt:lpstr>'DSI PHY timing setting'!Print_Area</vt:lpstr>
      <vt:lpstr>'Rev. History'!Print_Area</vt:lpstr>
      <vt:lpstr>'User Instructions'!Print_Area</vt:lpstr>
      <vt:lpstr>vRevisionDate</vt:lpstr>
    </vt:vector>
  </TitlesOfParts>
  <Company>Qualcomm Inc.</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Qualcomm</dc:creator>
  <cp:lastModifiedBy>Microsoft</cp:lastModifiedBy>
  <cp:lastPrinted>2016-08-10T15:17:21Z</cp:lastPrinted>
  <dcterms:created xsi:type="dcterms:W3CDTF">2009-08-29T21:51:38Z</dcterms:created>
  <dcterms:modified xsi:type="dcterms:W3CDTF">2018-07-09T07:07:30Z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0x010100CEA3F42A0B384E42A42E3E3DC05A0646</vt:lpwstr>
  </property>
  <property fmtid="{D5CDD505-2E9C-101B-9397-08002B2CF9AE}" pid="4" name="_dlc_DocIdItemGuid">
    <vt:lpwstr>3a829073-76c8-4420-92e7-64f539bd4a53</vt:lpwstr>
  </property>
</Properties>
</file>